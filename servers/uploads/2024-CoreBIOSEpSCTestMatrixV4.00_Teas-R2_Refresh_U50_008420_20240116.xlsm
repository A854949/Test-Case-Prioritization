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xml" ContentType="application/vnd.ms-office.activeX+xml"/>
  <Override PartName="/xl/activeX/activeX2.bin" ContentType="application/vnd.ms-office.activeX"/>
  <Override PartName="/xl/activeX/activeX3.bin" ContentType="application/vnd.ms-office.activeX"/>
  <Override PartName="/xl/activeX/activeX4.bin" ContentType="application/vnd.ms-office.activeX"/>
  <Override PartName="/xl/activeX/activeX5.bin" ContentType="application/vnd.ms-office.activeX"/>
  <Override PartName="/xl/activeX/activeX6.bin" ContentType="application/vnd.ms-office.activeX"/>
  <Override PartName="/xl/activeX/activeX7.bin" ContentType="application/vnd.ms-office.activeX"/>
  <Override PartName="/xl/activeX/activeX8.bin" ContentType="application/vnd.ms-office.activeX"/>
  <Override PartName="/xl/activeX/activeX9.bin" ContentType="application/vnd.ms-office.activeX"/>
  <Override PartName="/xl/activeX/activeX1.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11"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F1019379\Desktop\U50_008420\008420CF\"/>
    </mc:Choice>
  </mc:AlternateContent>
  <xr:revisionPtr revIDLastSave="0" documentId="13_ncr:1_{2BD2CB94-2171-48E8-A6D8-A7D89A094488}" xr6:coauthVersionLast="47" xr6:coauthVersionMax="47" xr10:uidLastSave="{00000000-0000-0000-0000-000000000000}"/>
  <bookViews>
    <workbookView xWindow="-120" yWindow="-120" windowWidth="29040" windowHeight="15840" tabRatio="686" firstSheet="3" activeTab="3" xr2:uid="{00000000-000D-0000-FFFF-FFFF00000000}"/>
  </bookViews>
  <sheets>
    <sheet name="ChangeLog" sheetId="43" state="hidden" r:id="rId1"/>
    <sheet name="Cover" sheetId="6" r:id="rId2"/>
    <sheet name="Summary" sheetId="16" r:id="rId3"/>
    <sheet name="CoreTestCase" sheetId="44" r:id="rId4"/>
    <sheet name="EpSCTestCase" sheetId="45" r:id="rId5"/>
  </sheets>
  <externalReferences>
    <externalReference r:id="rId6"/>
  </externalReferences>
  <definedNames>
    <definedName name="_xlnm._FilterDatabase" localSheetId="3" hidden="1">CoreTestCase!$H$1:$H$325</definedName>
    <definedName name="_xlnm.Criteria">#REF!</definedName>
    <definedName name="_xlnm.Database">#REF!</definedName>
    <definedName name="_xlnm.Extract">#REF!</definedName>
    <definedName name="PctComplete">'[1]Test Summary'!#REF!</definedName>
    <definedName name="PrcntComplete">'[1]Test Summary'!#REF!</definedName>
    <definedName name="Print_titl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1" i="45" l="1"/>
  <c r="H20" i="45"/>
  <c r="H80" i="45"/>
  <c r="H79" i="45"/>
  <c r="H78" i="45"/>
  <c r="H77" i="45"/>
  <c r="H76" i="45"/>
  <c r="H75" i="45"/>
  <c r="H74" i="45"/>
  <c r="H73" i="45"/>
  <c r="H72" i="45"/>
  <c r="H71" i="45"/>
  <c r="H70" i="45"/>
  <c r="H69" i="45"/>
  <c r="H68" i="45"/>
  <c r="H67" i="45"/>
  <c r="H66" i="45"/>
  <c r="H65" i="45"/>
  <c r="H64" i="45"/>
  <c r="H63" i="45"/>
  <c r="H62" i="45"/>
  <c r="H61" i="45"/>
  <c r="H60" i="45"/>
  <c r="H59" i="45"/>
  <c r="H58" i="45"/>
  <c r="H57" i="45"/>
  <c r="H56" i="45"/>
  <c r="H55" i="45"/>
  <c r="H54" i="45"/>
  <c r="H53" i="45"/>
  <c r="H52" i="45"/>
  <c r="H51" i="45"/>
  <c r="H50" i="45"/>
  <c r="H49" i="45"/>
  <c r="H48" i="45"/>
  <c r="H47" i="45"/>
  <c r="H46" i="45"/>
  <c r="H45" i="45"/>
  <c r="H44" i="45"/>
  <c r="H43" i="45"/>
  <c r="H42" i="45"/>
  <c r="H41" i="45"/>
  <c r="H40" i="45"/>
  <c r="H39" i="45"/>
  <c r="H38" i="45"/>
  <c r="H37" i="45"/>
  <c r="H36" i="45"/>
  <c r="H35" i="45"/>
  <c r="H34" i="45"/>
  <c r="H33" i="45"/>
  <c r="H32" i="45"/>
  <c r="H31" i="45"/>
  <c r="H30" i="45"/>
  <c r="H29" i="45"/>
  <c r="H28" i="45"/>
  <c r="H27" i="45"/>
  <c r="H26" i="45"/>
  <c r="H25" i="45"/>
  <c r="H24" i="45"/>
  <c r="H23" i="45"/>
  <c r="H22" i="45"/>
  <c r="H19" i="45"/>
  <c r="H18" i="45"/>
  <c r="H17" i="45"/>
  <c r="H16" i="45"/>
  <c r="H15" i="45"/>
  <c r="H14" i="45"/>
  <c r="H13" i="45"/>
  <c r="H12" i="45"/>
  <c r="H11" i="45"/>
  <c r="H10" i="45"/>
  <c r="H9" i="45"/>
  <c r="H8" i="45"/>
  <c r="H7" i="45"/>
  <c r="H325" i="44"/>
  <c r="H324" i="44"/>
  <c r="H323" i="44"/>
  <c r="H322" i="44"/>
  <c r="H321" i="44"/>
  <c r="H320" i="44"/>
  <c r="H319" i="44"/>
  <c r="H318" i="44"/>
  <c r="H317" i="44"/>
  <c r="H316" i="44"/>
  <c r="H315" i="44"/>
  <c r="H314" i="44"/>
  <c r="H313" i="44"/>
  <c r="H312" i="44"/>
  <c r="H311" i="44"/>
  <c r="H310" i="44"/>
  <c r="H309" i="44"/>
  <c r="H308" i="44"/>
  <c r="H307" i="44"/>
  <c r="H306" i="44"/>
  <c r="H305" i="44"/>
  <c r="H304" i="44"/>
  <c r="H303" i="44"/>
  <c r="H302" i="44"/>
  <c r="H301" i="44"/>
  <c r="H300" i="44"/>
  <c r="H299" i="44"/>
  <c r="H298" i="44"/>
  <c r="H297" i="44"/>
  <c r="H296" i="44"/>
  <c r="H295" i="44"/>
  <c r="H294" i="44"/>
  <c r="H293" i="44"/>
  <c r="H292" i="44"/>
  <c r="H291" i="44"/>
  <c r="H290" i="44"/>
  <c r="H289" i="44"/>
  <c r="H288" i="44"/>
  <c r="H287" i="44"/>
  <c r="H286" i="44"/>
  <c r="H285" i="44"/>
  <c r="H284" i="44"/>
  <c r="H283" i="44"/>
  <c r="H282" i="44"/>
  <c r="H281" i="44"/>
  <c r="H280" i="44"/>
  <c r="H279" i="44"/>
  <c r="H278" i="44"/>
  <c r="H277" i="44"/>
  <c r="H276" i="44"/>
  <c r="H275" i="44"/>
  <c r="H274" i="44"/>
  <c r="H273" i="44"/>
  <c r="H272" i="44"/>
  <c r="H271" i="44"/>
  <c r="H270" i="44"/>
  <c r="H269" i="44"/>
  <c r="H268" i="44"/>
  <c r="H267" i="44"/>
  <c r="H266" i="44"/>
  <c r="H265" i="44"/>
  <c r="H264" i="44"/>
  <c r="H263" i="44"/>
  <c r="H262" i="44"/>
  <c r="H261" i="44"/>
  <c r="H260" i="44"/>
  <c r="H259" i="44"/>
  <c r="H258" i="44"/>
  <c r="H257" i="44"/>
  <c r="H256" i="44"/>
  <c r="H255" i="44"/>
  <c r="H254" i="44"/>
  <c r="H253" i="44"/>
  <c r="H252" i="44"/>
  <c r="H251" i="44"/>
  <c r="H250" i="44"/>
  <c r="H249" i="44"/>
  <c r="H248" i="44"/>
  <c r="H247" i="44"/>
  <c r="H246" i="44"/>
  <c r="H245" i="44"/>
  <c r="H244" i="44"/>
  <c r="H243" i="44"/>
  <c r="H242" i="44"/>
  <c r="H241" i="44"/>
  <c r="H240" i="44"/>
  <c r="H239" i="44"/>
  <c r="H238" i="44"/>
  <c r="H237" i="44"/>
  <c r="H236" i="44"/>
  <c r="H235" i="44"/>
  <c r="H234" i="44"/>
  <c r="H233" i="44"/>
  <c r="H232" i="44"/>
  <c r="H231" i="44"/>
  <c r="H230" i="44"/>
  <c r="H229" i="44"/>
  <c r="H228" i="44"/>
  <c r="H227" i="44"/>
  <c r="H226" i="44"/>
  <c r="H225" i="44"/>
  <c r="H224" i="44"/>
  <c r="H223" i="44"/>
  <c r="H222" i="44"/>
  <c r="H221" i="44"/>
  <c r="H220" i="44"/>
  <c r="H219" i="44"/>
  <c r="H218" i="44"/>
  <c r="H217" i="44"/>
  <c r="H216" i="44"/>
  <c r="H215" i="44"/>
  <c r="H214" i="44"/>
  <c r="H213" i="44"/>
  <c r="H212" i="44"/>
  <c r="H211" i="44"/>
  <c r="H210" i="44"/>
  <c r="H209" i="44"/>
  <c r="H208" i="44"/>
  <c r="H207" i="44"/>
  <c r="H206" i="44"/>
  <c r="H205" i="44"/>
  <c r="H204" i="44"/>
  <c r="H203" i="44"/>
  <c r="H202" i="44"/>
  <c r="H201" i="44"/>
  <c r="H200" i="44"/>
  <c r="H199" i="44"/>
  <c r="H198" i="44"/>
  <c r="H197" i="44"/>
  <c r="H196" i="44"/>
  <c r="H195" i="44"/>
  <c r="H194" i="44"/>
  <c r="H193" i="44"/>
  <c r="H192" i="44"/>
  <c r="H191" i="44"/>
  <c r="H190" i="44"/>
  <c r="H189" i="44"/>
  <c r="H188" i="44"/>
  <c r="H187" i="44"/>
  <c r="H186" i="44"/>
  <c r="H185" i="44"/>
  <c r="H184" i="44"/>
  <c r="H183" i="44"/>
  <c r="H182" i="44"/>
  <c r="H181" i="44"/>
  <c r="H180" i="44"/>
  <c r="H179" i="44"/>
  <c r="H178" i="44"/>
  <c r="H177" i="44"/>
  <c r="H176" i="44"/>
  <c r="H175" i="44"/>
  <c r="H174" i="44"/>
  <c r="H173" i="44"/>
  <c r="H172" i="44"/>
  <c r="H171" i="44"/>
  <c r="H170" i="44"/>
  <c r="H169" i="44"/>
  <c r="H168" i="44"/>
  <c r="H167" i="44"/>
  <c r="H166" i="44"/>
  <c r="H165" i="44"/>
  <c r="H164" i="44"/>
  <c r="H163" i="44"/>
  <c r="H162" i="44"/>
  <c r="H161" i="44"/>
  <c r="H160" i="44"/>
  <c r="H159" i="44"/>
  <c r="H158" i="44"/>
  <c r="H157" i="44"/>
  <c r="H156" i="44"/>
  <c r="H155" i="44"/>
  <c r="H154" i="44"/>
  <c r="H153" i="44"/>
  <c r="H152" i="44"/>
  <c r="H151" i="44"/>
  <c r="H150" i="44"/>
  <c r="H149" i="44"/>
  <c r="H148" i="44"/>
  <c r="H147" i="44"/>
  <c r="H146" i="44"/>
  <c r="H145" i="44"/>
  <c r="H144" i="44"/>
  <c r="H143" i="44"/>
  <c r="H142" i="44"/>
  <c r="H141" i="44"/>
  <c r="H140" i="44"/>
  <c r="H139" i="44"/>
  <c r="H138" i="44"/>
  <c r="H137" i="44"/>
  <c r="H136" i="44"/>
  <c r="H135" i="44"/>
  <c r="H134" i="44"/>
  <c r="H133" i="44"/>
  <c r="H132" i="44"/>
  <c r="H131" i="44"/>
  <c r="H130" i="44"/>
  <c r="H129" i="44"/>
  <c r="H128" i="44"/>
  <c r="H127" i="44"/>
  <c r="H126" i="44"/>
  <c r="H125" i="44"/>
  <c r="H124" i="44"/>
  <c r="H123" i="44"/>
  <c r="H122" i="44"/>
  <c r="H121" i="44"/>
  <c r="H120" i="44"/>
  <c r="H119" i="44"/>
  <c r="H118" i="44"/>
  <c r="H117" i="44"/>
  <c r="H116" i="44"/>
  <c r="H115" i="44"/>
  <c r="H114" i="44"/>
  <c r="H113" i="44"/>
  <c r="H112" i="44"/>
  <c r="H111" i="44"/>
  <c r="H110" i="44"/>
  <c r="H109" i="44"/>
  <c r="H108" i="44"/>
  <c r="H107" i="44"/>
  <c r="H106" i="44"/>
  <c r="H105" i="44"/>
  <c r="H104" i="44"/>
  <c r="H103" i="44"/>
  <c r="H102" i="44"/>
  <c r="H101" i="44"/>
  <c r="H100" i="44"/>
  <c r="H99" i="44"/>
  <c r="H98" i="44"/>
  <c r="H97" i="44"/>
  <c r="H96" i="44"/>
  <c r="H95" i="44"/>
  <c r="H94" i="44"/>
  <c r="H93" i="44"/>
  <c r="H92" i="44"/>
  <c r="H91" i="44"/>
  <c r="H90" i="44"/>
  <c r="H89" i="44"/>
  <c r="H88" i="44"/>
  <c r="H87" i="44"/>
  <c r="H86" i="44"/>
  <c r="H85" i="44"/>
  <c r="H84" i="44"/>
  <c r="H83" i="44"/>
  <c r="H82" i="44"/>
  <c r="H81" i="44"/>
  <c r="H80" i="44"/>
  <c r="H79" i="44"/>
  <c r="H78" i="44"/>
  <c r="H77" i="44"/>
  <c r="H76" i="44"/>
  <c r="H75" i="44"/>
  <c r="H74" i="44"/>
  <c r="H73" i="44"/>
  <c r="H72" i="44"/>
  <c r="H71" i="44"/>
  <c r="H70" i="44"/>
  <c r="H69" i="44"/>
  <c r="H68" i="44"/>
  <c r="H67" i="44"/>
  <c r="H66" i="44"/>
  <c r="H65" i="44"/>
  <c r="H64" i="44"/>
  <c r="H63" i="44"/>
  <c r="H62" i="44"/>
  <c r="H61" i="44"/>
  <c r="H60" i="44"/>
  <c r="H59" i="44"/>
  <c r="H58" i="44"/>
  <c r="H57" i="44"/>
  <c r="H56" i="44"/>
  <c r="H55" i="44"/>
  <c r="H54" i="44"/>
  <c r="H53" i="44"/>
  <c r="H52" i="44"/>
  <c r="H51" i="44"/>
  <c r="H50" i="44"/>
  <c r="H49" i="44"/>
  <c r="H48" i="44"/>
  <c r="H47" i="44"/>
  <c r="H46" i="44"/>
  <c r="H45" i="44"/>
  <c r="H44" i="44"/>
  <c r="H43" i="44"/>
  <c r="H42" i="44"/>
  <c r="H41" i="44"/>
  <c r="H40" i="44"/>
  <c r="H39" i="44"/>
  <c r="H38" i="44"/>
  <c r="H37" i="44"/>
  <c r="H36" i="44"/>
  <c r="H35" i="44"/>
  <c r="H34" i="44"/>
  <c r="H33" i="44"/>
  <c r="H32" i="44"/>
  <c r="H31" i="44"/>
  <c r="H30" i="44"/>
  <c r="H29" i="44"/>
  <c r="H28" i="44"/>
  <c r="H27" i="44"/>
  <c r="H26" i="44"/>
  <c r="H25" i="44"/>
  <c r="H24" i="44"/>
  <c r="H23" i="44"/>
  <c r="H22" i="44"/>
  <c r="H21" i="44"/>
  <c r="H20" i="44"/>
  <c r="H19" i="44"/>
  <c r="H18" i="44"/>
  <c r="H17" i="44"/>
  <c r="H16" i="44"/>
  <c r="H15" i="44"/>
  <c r="H14" i="44"/>
  <c r="H13" i="44"/>
  <c r="H12" i="44"/>
  <c r="H11" i="44"/>
  <c r="H10" i="44"/>
  <c r="H9" i="44"/>
  <c r="H8" i="44"/>
  <c r="H7" i="44"/>
  <c r="M9" i="16"/>
  <c r="L9" i="16"/>
  <c r="J9" i="16"/>
  <c r="I9" i="16"/>
  <c r="G9" i="16"/>
  <c r="F9" i="16"/>
  <c r="M7" i="16"/>
  <c r="L7" i="16"/>
  <c r="J7" i="16"/>
  <c r="I7" i="16"/>
  <c r="G7" i="16"/>
  <c r="F7" i="16"/>
  <c r="O8" i="6"/>
  <c r="L9" i="45" l="1"/>
  <c r="L4" i="45"/>
  <c r="L6" i="45"/>
  <c r="L7" i="45"/>
  <c r="L8" i="45"/>
  <c r="L5" i="45"/>
  <c r="L5" i="44"/>
  <c r="L6" i="44"/>
  <c r="L9" i="44"/>
  <c r="L8" i="44"/>
  <c r="L7" i="44"/>
  <c r="L4" i="44"/>
  <c r="I5" i="16"/>
  <c r="J8" i="16"/>
  <c r="M5" i="16"/>
  <c r="L5" i="16"/>
  <c r="F5" i="16"/>
  <c r="B5" i="16"/>
  <c r="C9" i="16"/>
  <c r="F10" i="16" s="1"/>
  <c r="L10" i="16"/>
  <c r="K5" i="16"/>
  <c r="J10" i="16"/>
  <c r="G5" i="16"/>
  <c r="H5" i="16"/>
  <c r="L8" i="16" l="1"/>
  <c r="C7" i="16"/>
  <c r="G8" i="16" s="1"/>
  <c r="J5" i="16"/>
  <c r="J6" i="16" s="1"/>
  <c r="D9" i="16"/>
  <c r="E9" i="16" s="1"/>
  <c r="E10" i="16" s="1"/>
  <c r="G10" i="16"/>
  <c r="H10" i="16"/>
  <c r="I10" i="16"/>
  <c r="M6" i="16"/>
  <c r="L6" i="16"/>
  <c r="C5" i="16" l="1"/>
  <c r="I6" i="16" s="1"/>
  <c r="H8" i="16"/>
  <c r="I8" i="16"/>
  <c r="D7" i="16"/>
  <c r="E7" i="16" s="1"/>
  <c r="E8" i="16" s="1"/>
  <c r="F8" i="16"/>
  <c r="G6" i="16" l="1"/>
  <c r="H6" i="16"/>
  <c r="F6" i="16"/>
  <c r="D5" i="16"/>
  <c r="E5" i="16" s="1"/>
  <c r="E6"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譚志園</author>
    <author>pc</author>
    <author>嚴茜</author>
    <author>趙曉君</author>
    <author>曾芳潔</author>
    <author>陳玲</author>
  </authors>
  <commentList>
    <comment ref="C48" authorId="0" shapeId="0" xr:uid="{00000000-0006-0000-0300-000002000000}">
      <text>
        <r>
          <rPr>
            <b/>
            <sz val="9"/>
            <color indexed="81"/>
            <rFont val="宋体"/>
            <family val="3"/>
            <charset val="134"/>
          </rPr>
          <t>Test notes: 
(starting from 2019) to remove pending power-on password support."Skip tests 1,2,3,4,5,6, start from step 46."</t>
        </r>
        <r>
          <rPr>
            <sz val="9"/>
            <color indexed="81"/>
            <rFont val="宋体"/>
            <family val="3"/>
            <charset val="134"/>
          </rPr>
          <t xml:space="preserve">
</t>
        </r>
      </text>
    </comment>
    <comment ref="C53" authorId="0" shapeId="0" xr:uid="{00000000-0006-0000-0300-000003000000}">
      <text>
        <r>
          <rPr>
            <b/>
            <sz val="9"/>
            <color indexed="81"/>
            <rFont val="宋体"/>
            <family val="3"/>
            <charset val="134"/>
          </rPr>
          <t xml:space="preserve">Can not boot shell
SIO2240369 - [Teas-R2][Kombucha-R2/Oolong-R2][Refresh][U50_008320][CF-20-7/3-96/3-70/2-51/2-30][B]: The system doesn't boot to EFI shell when WinPVT test script prompt to boot to shell.
Manual test PASS.
</t>
        </r>
        <r>
          <rPr>
            <sz val="9"/>
            <color indexed="81"/>
            <rFont val="宋体"/>
            <family val="3"/>
            <charset val="134"/>
          </rPr>
          <t xml:space="preserve">
</t>
        </r>
      </text>
    </comment>
    <comment ref="C56" authorId="0" shapeId="0" xr:uid="{00000000-0006-0000-0300-000004000000}">
      <text>
        <r>
          <rPr>
            <b/>
            <sz val="9"/>
            <color indexed="81"/>
            <rFont val="宋体"/>
            <family val="3"/>
            <charset val="134"/>
          </rPr>
          <t xml:space="preserve">SIO2231296 - [Teas-R2][Kombucha-R2/Oolong-R2[U50_008120][CF-3-26 Test#6 step24]: BIOS Critical Event Log show "String not found" when clearing the TPM or executing Restore Security Settings to Factory Defaults.
</t>
        </r>
      </text>
    </comment>
    <comment ref="C77" authorId="1" shapeId="0" xr:uid="{00000000-0006-0000-0300-000005000000}">
      <text>
        <r>
          <rPr>
            <b/>
            <sz val="9"/>
            <color indexed="81"/>
            <rFont val="宋体"/>
            <family val="3"/>
            <charset val="134"/>
          </rPr>
          <t>SIO2240369 - [Teas-R2][Kombucha-R2/Oolong-R2][Refresh][U50_008320][CF-20-7/3-96/3-70/2-51/2-30][B]: The system doesn't boot to EFI shell when WinPVT test script prompt to boot to shell.</t>
        </r>
        <r>
          <rPr>
            <sz val="9"/>
            <color indexed="81"/>
            <rFont val="宋体"/>
            <family val="3"/>
            <charset val="134"/>
          </rPr>
          <t xml:space="preserve">
</t>
        </r>
      </text>
    </comment>
    <comment ref="C78" authorId="1" shapeId="0" xr:uid="{00000000-0006-0000-0300-000006000000}">
      <text>
        <r>
          <rPr>
            <b/>
            <sz val="9"/>
            <color indexed="81"/>
            <rFont val="宋体"/>
            <family val="3"/>
            <charset val="134"/>
          </rPr>
          <t xml:space="preserve">Old tool with 2015: Pass
New tool with 2023: Fail
</t>
        </r>
        <r>
          <rPr>
            <sz val="9"/>
            <color indexed="81"/>
            <rFont val="宋体"/>
            <family val="3"/>
            <charset val="134"/>
          </rPr>
          <t xml:space="preserve">
</t>
        </r>
      </text>
    </comment>
    <comment ref="C79" authorId="1" shapeId="0" xr:uid="{00000000-0006-0000-0300-000007000000}">
      <text>
        <r>
          <rPr>
            <b/>
            <sz val="9"/>
            <color indexed="81"/>
            <rFont val="宋体"/>
            <family val="3"/>
            <charset val="134"/>
          </rPr>
          <t>Test with Prism server to unlock MPM, not test with USB key.</t>
        </r>
      </text>
    </comment>
    <comment ref="C82" authorId="0" shapeId="0" xr:uid="{00000000-0006-0000-0300-000008000000}">
      <text>
        <r>
          <rPr>
            <b/>
            <sz val="9"/>
            <color indexed="81"/>
            <rFont val="宋体"/>
            <family val="3"/>
            <charset val="134"/>
          </rPr>
          <t>1. Test pass.
2. Keep watch BPS issue for test plan clarify.
SIO2238457 - [FY24][RPL-SR][Mahjong][FXN][BV-NPI][PV][U03_925600][Func][3-77 step13]"Intel Management Engine Interface Properties" isn't in Device Manager after send MPM Reset and boot into OS when run "Flash Unlock All Prism Server Command–Intel 2017–Part I.pvt".
Affect:SIO2243442 [SolitaireR][24CQ1][FXN][BV-SUS][RPL-S][ADL-S][U01_926100][Func][3-77 step:5]:CLSMNF64.BAT and CLSMNF64AV.bat will not copyed to Core WinPVT\HPFWUPDREC\FPTW when run CopyBatchFile.pvt with Gondor Automation Test Scripts V7.79.</t>
        </r>
        <r>
          <rPr>
            <sz val="9"/>
            <color indexed="81"/>
            <rFont val="宋体"/>
            <family val="3"/>
            <charset val="134"/>
          </rPr>
          <t xml:space="preserve">
</t>
        </r>
      </text>
    </comment>
    <comment ref="C87" authorId="0" shapeId="0" xr:uid="{00000000-0006-0000-0300-000009000000}">
      <text>
        <r>
          <rPr>
            <b/>
            <sz val="9"/>
            <color indexed="81"/>
            <rFont val="宋体"/>
            <family val="3"/>
            <charset val="134"/>
          </rPr>
          <t xml:space="preserve">1. Function test pass.
2. Keep watch BPS issue for test plan clarify.
BPS issue: SIO2235550- [FY24][RPL-SR][Mahjong][FXN][BV-NPI][PV][U03_925600][Func][3-84]:According to "Passing Criteria",the step8 to step23(First half sentence) should be labeled as "For Non-Production signed bios".
</t>
        </r>
      </text>
    </comment>
    <comment ref="C93" authorId="0" shapeId="0" xr:uid="{00000000-0006-0000-0300-00000A000000}">
      <text>
        <r>
          <rPr>
            <b/>
            <sz val="9"/>
            <color indexed="81"/>
            <rFont val="宋体"/>
            <charset val="134"/>
          </rPr>
          <t>Skip Test # 11: 
NOTE: for 2022.7 and newer, Skip this test. SIO2224759 and ADO1235594
Teas-R2 is 2022.7 codebase platfrom.</t>
        </r>
      </text>
    </comment>
    <comment ref="C97" authorId="0" shapeId="0" xr:uid="{00000000-0006-0000-0300-00000B000000}">
      <text>
        <r>
          <rPr>
            <b/>
            <sz val="9"/>
            <color indexed="81"/>
            <rFont val="宋体"/>
            <family val="3"/>
            <charset val="134"/>
          </rPr>
          <t>SIO2240369 - [Teas-R2][Kombucha-R2/Oolong-R2][Refresh][U50_008320][CF-20-7/3-96/3-70/2-51/2-30][B]: The system doesn't boot to EFI shell when WinPVT test script prompt to boot to shell.
Manual test PASS.</t>
        </r>
      </text>
    </comment>
    <comment ref="D100" authorId="2" shapeId="0" xr:uid="{00000000-0006-0000-0300-00000C000000}">
      <text>
        <r>
          <rPr>
            <b/>
            <sz val="9"/>
            <color indexed="81"/>
            <rFont val="宋体"/>
            <family val="3"/>
            <charset val="134"/>
          </rPr>
          <t>Test script can not full run, Test with Manual test only.</t>
        </r>
      </text>
    </comment>
    <comment ref="D101" authorId="2" shapeId="0" xr:uid="{00000000-0006-0000-0300-00000D000000}">
      <text>
        <r>
          <rPr>
            <b/>
            <sz val="9"/>
            <color indexed="81"/>
            <rFont val="宋体"/>
            <family val="3"/>
            <charset val="134"/>
          </rPr>
          <t>SIO2240369 - [Teas-R2][Kombucha-R2/Oolong-R2][Refresh][U50_008320][CF-20-7/3-96/3-70/2-51/2-30][B]: The system doesn't boot to EFI shell when WinPVT test script prompt to boot to shell.
Do manual test pass</t>
        </r>
      </text>
    </comment>
    <comment ref="D110" authorId="2" shapeId="0" xr:uid="{00000000-0006-0000-0300-00000E000000}">
      <text>
        <r>
          <rPr>
            <b/>
            <sz val="9"/>
            <color indexed="81"/>
            <rFont val="宋体"/>
            <charset val="134"/>
          </rPr>
          <t xml:space="preserve">SIO2037832 - [Teas][Kombucha/Oolong][SI][U50_002600][CF-3-109 step131]: The DriveLock Security Options message of M.2 SSD will not show when change to a new password with BCU and then reboot to F10 with M.2 SSD and SATA HDD installed.       - - No Fix Needed 
</t>
        </r>
      </text>
    </comment>
    <comment ref="D112" authorId="2" shapeId="0" xr:uid="{00000000-0006-0000-0300-00000F000000}">
      <text>
        <r>
          <rPr>
            <b/>
            <sz val="9"/>
            <color indexed="81"/>
            <rFont val="宋体"/>
            <charset val="134"/>
          </rPr>
          <t xml:space="preserve">Test notes: 
Disable "Configure Storage Controller for VMD" in F10 before testing.
</t>
        </r>
      </text>
    </comment>
    <comment ref="D113" authorId="2" shapeId="0" xr:uid="{00000000-0006-0000-0300-000010000000}">
      <text>
        <r>
          <rPr>
            <b/>
            <sz val="9"/>
            <color indexed="81"/>
            <rFont val="宋体"/>
            <charset val="134"/>
          </rPr>
          <t xml:space="preserve"> PCR Index 00: 3B278A854E57618F294AB5AE17192945E3CE1A784A25398C4916B514E413094F</t>
        </r>
      </text>
    </comment>
    <comment ref="D115" authorId="3" shapeId="0" xr:uid="{93F7ABD4-42F5-4506-BC04-9C22C49E9933}">
      <text>
        <r>
          <rPr>
            <b/>
            <sz val="9"/>
            <color indexed="81"/>
            <rFont val="Tahoma"/>
            <family val="2"/>
          </rPr>
          <t>SIO2248985 - [Teas-R2][Kombucha-R2/Oolong-R2][Refresh][U50_008420][CF-3-144]: Only the latest one SMC fail log can be get with WinPVT but the previous SMC fail logs cannot be get.</t>
        </r>
      </text>
    </comment>
    <comment ref="D116" authorId="2" shapeId="0" xr:uid="{00000000-0006-0000-0300-000011000000}">
      <text>
        <r>
          <rPr>
            <b/>
            <sz val="9"/>
            <color indexed="81"/>
            <rFont val="宋体"/>
            <charset val="134"/>
          </rPr>
          <t xml:space="preserve">SIO2237512 - [Teas-R2][Kombucha-R2/Oolong-R2][Refresh][U50_008220][CF-3-117 step27]: TPM Firmware Update Request PPI screen and Update TPM2.0 Firmware screen overlap when initiate TPM Update/Flash by WinPVT. 
</t>
        </r>
      </text>
    </comment>
    <comment ref="D121" authorId="2" shapeId="0" xr:uid="{00000000-0006-0000-0300-000012000000}">
      <text>
        <r>
          <rPr>
            <b/>
            <sz val="9"/>
            <color indexed="81"/>
            <rFont val="宋体"/>
            <charset val="134"/>
          </rPr>
          <t>NOTE: If testing on 2022+ platforms with BIOS which is ITDM capable (avoid BAP/BEAM on BIOS upgrade - 2022 platforms) should run the Manual test.
Note: If running test with 2022+ platforms, run steps 1-18 only</t>
        </r>
      </text>
    </comment>
    <comment ref="D125" authorId="4" shapeId="0" xr:uid="{00000000-0006-0000-0300-000013000000}">
      <text>
        <r>
          <rPr>
            <b/>
            <sz val="9"/>
            <color indexed="81"/>
            <rFont val="Tahoma"/>
            <family val="2"/>
          </rPr>
          <t xml:space="preserve">1. Function test pass.
2. Refer BPS issue test plan clarify
SIO2244147  [FY24][RPL-SR][Mahjong][FXN][BV-NPI][PV][U03_925900][Func][3-129&amp;3-130 step:6]:The WinPVT script prompts a "RESET FINGERPRINT SENSOR" screen to appear in the POST, but actually it doesn't appear because fingerprint isn't supported.  </t>
        </r>
      </text>
    </comment>
    <comment ref="D126" authorId="4" shapeId="0" xr:uid="{00000000-0006-0000-0300-000014000000}">
      <text>
        <r>
          <rPr>
            <b/>
            <sz val="9"/>
            <color indexed="81"/>
            <rFont val="Tahoma"/>
            <family val="2"/>
          </rPr>
          <t xml:space="preserve">1. Function test pass.
2. Refer BPS issue test plan clarify
SIO2244147  [FY24][RPL-SR][Mahjong][FXN][BV-NPI][PV][U03_925900][Func][3-129&amp;3-130 step:6]:The WinPVT script prompts a "RESET FINGERPRINT SENSOR" screen to appear in the POST, but actually it doesn't appear because fingerprint isn't supported.  </t>
        </r>
      </text>
    </comment>
    <comment ref="D135" authorId="4" shapeId="0" xr:uid="{00000000-0006-0000-0300-000015000000}">
      <text>
        <r>
          <rPr>
            <b/>
            <sz val="9"/>
            <color indexed="81"/>
            <rFont val="Tahoma"/>
            <family val="2"/>
          </rPr>
          <t xml:space="preserve">1. Step91: Need remove AC power, or next script will fail.
</t>
        </r>
      </text>
    </comment>
    <comment ref="D137" authorId="4" shapeId="0" xr:uid="{00000000-0006-0000-0300-000016000000}">
      <text>
        <r>
          <rPr>
            <b/>
            <sz val="9"/>
            <color indexed="81"/>
            <rFont val="Tahoma"/>
            <family val="2"/>
          </rPr>
          <t xml:space="preserve">SIO2229863 -  [Teas-R2][Kombucha-R2/Oolong-R2][Refresh][U50_008120][CF-3-154 step13/26/33][B]: The output shows "dbx_new.bin longer than DBX_TEST.BIN" when compare files with command: fc dbx_new.bin dbx_test.bin.  
</t>
        </r>
      </text>
    </comment>
    <comment ref="D139" authorId="4" shapeId="0" xr:uid="{00000000-0006-0000-0300-000017000000}">
      <text>
        <r>
          <rPr>
            <b/>
            <sz val="9"/>
            <color indexed="81"/>
            <rFont val="Tahoma"/>
            <family val="2"/>
          </rPr>
          <t>1.step14,26,42,69: The post appears twice, it is normal. 
Follow issue SIO1957521 - [Rockets][Titan/Saturn][PV][T50_003400][CF-3-156 step14]: 903 POST appear twice with randomly beeps after reattach the Cover when Remove Cover then Remove the RTC Battery.
Mar 10 2021 8:26AM || eric.su@hp.com || Update || Showing twice is expected since ME needs to reset again in the end of post after RTC clear. by checking 01.00.00, there is no randomly beep, so I will seitch to retest after 01.00.00 release.
2.Need Install SP87001.exe before testing.</t>
        </r>
      </text>
    </comment>
    <comment ref="C142" authorId="1" shapeId="0" xr:uid="{00000000-0006-0000-0300-000018000000}">
      <text>
        <r>
          <rPr>
            <b/>
            <sz val="9"/>
            <color indexed="81"/>
            <rFont val="宋体"/>
            <family val="3"/>
            <charset val="134"/>
          </rPr>
          <t xml:space="preserve">This test is for 2021.3+ codebase Notebooks.
</t>
        </r>
      </text>
    </comment>
    <comment ref="C143" authorId="1" shapeId="0" xr:uid="{00000000-0006-0000-0300-000019000000}">
      <text>
        <r>
          <rPr>
            <b/>
            <sz val="9"/>
            <color indexed="81"/>
            <rFont val="宋体"/>
            <family val="3"/>
            <charset val="134"/>
          </rPr>
          <t xml:space="preserve">This test is for 2021.3+ codebase Notebooks.
</t>
        </r>
      </text>
    </comment>
    <comment ref="C144" authorId="1" shapeId="0" xr:uid="{00000000-0006-0000-0300-00001A000000}">
      <text>
        <r>
          <rPr>
            <b/>
            <sz val="9"/>
            <color indexed="81"/>
            <rFont val="宋体"/>
            <family val="3"/>
            <charset val="134"/>
          </rPr>
          <t>Scope: All 2021.4 Platforms (Workstation, Desktop, Notebook).</t>
        </r>
      </text>
    </comment>
    <comment ref="C151" authorId="1" shapeId="0" xr:uid="{00000000-0006-0000-0300-00001B000000}">
      <text>
        <r>
          <rPr>
            <b/>
            <sz val="9"/>
            <color indexed="81"/>
            <rFont val="宋体"/>
            <family val="3"/>
            <charset val="134"/>
          </rPr>
          <t xml:space="preserve">SIO2236984 - [Teas-R2][Kombucha-R2/Oolong-R2][Refresh][U50_008220][CF-3-169]: Report "Error AxbTestTool.efi -u" when run "VBBP Test Mode Enable for Test Signed Bios.pvt". </t>
        </r>
      </text>
    </comment>
    <comment ref="C153" authorId="1" shapeId="0" xr:uid="{00000000-0006-0000-0300-00001C000000}">
      <text>
        <r>
          <rPr>
            <b/>
            <sz val="9"/>
            <color indexed="81"/>
            <rFont val="宋体"/>
            <family val="3"/>
            <charset val="134"/>
          </rPr>
          <t xml:space="preserve">SIO2234604 - [Teas-R2][Kombucha-R2/Oolong-R2][Refresh][U50_008220][CF-3-171][B]: Report Error Value Mismatch "Virtualization Based BIOS Protection" when run VBBP Test Mode Disable for Production &amp; Test Signed Bios With Authentication.pvt. </t>
        </r>
      </text>
    </comment>
    <comment ref="C157" authorId="1" shapeId="0" xr:uid="{00000000-0006-0000-0300-00001D000000}">
      <text>
        <r>
          <rPr>
            <b/>
            <sz val="9"/>
            <color indexed="81"/>
            <rFont val="宋体"/>
            <family val="3"/>
            <charset val="134"/>
          </rPr>
          <t xml:space="preserve">SIO2237512 - [Teas-R2][Kombucha-R2/Oolong-R2][Refresh][U50_008220][CF-3-117 step27]: TPM Firmware Update Request PPI screen and Update TPM2.0 Firmware screen overlap when initiate TPM Update/Flash by WinPVT. </t>
        </r>
        <r>
          <rPr>
            <sz val="9"/>
            <color indexed="81"/>
            <rFont val="宋体"/>
            <family val="3"/>
            <charset val="134"/>
          </rPr>
          <t xml:space="preserve">
</t>
        </r>
      </text>
    </comment>
    <comment ref="C158" authorId="1" shapeId="0" xr:uid="{00000000-0006-0000-0300-00001E000000}">
      <text>
        <r>
          <rPr>
            <b/>
            <sz val="9"/>
            <color indexed="81"/>
            <rFont val="宋体"/>
            <family val="3"/>
            <charset val="134"/>
          </rPr>
          <t xml:space="preserve">Keep watch:
[Teas-R2][Kombucha-R2/Oolong-R2][Refresh][U50_008320][CF-3-176 step48]: The Bios Admin Password still exist after remove RTC battery about 5-10s when "Clear BIOS Passwords on RTC Battery Removal" enabled. 
From HP information, Teas HW design, complete discharge takes approximately 20s.
Test with way1,wait ~15s (from Enabling C.8); way2,wait ~20s (HW design); if way1/2 fail, try way3 wait ~30s. </t>
        </r>
        <r>
          <rPr>
            <sz val="9"/>
            <color indexed="81"/>
            <rFont val="宋体"/>
            <family val="3"/>
            <charset val="134"/>
          </rPr>
          <t xml:space="preserve">
</t>
        </r>
      </text>
    </comment>
    <comment ref="D163" authorId="5" shapeId="0" xr:uid="{00000000-0006-0000-0300-00001F000000}">
      <text>
        <r>
          <rPr>
            <b/>
            <sz val="9"/>
            <color indexed="81"/>
            <rFont val="宋体"/>
            <family val="3"/>
            <charset val="134"/>
          </rPr>
          <t xml:space="preserve">Closed as NFN SIO2235793 - [Teas-R2][Kombucha-R2/Oolong-R2][Refresh][U50_008220][CF-3-181 step9][B]: Report "ERROR: The operation returned an unexpected error code.Expecting error code 0x6 (Invalid command parameter)" when run EpSC24 Device Identity.pvt.
Dec 15 2023 3:51AM || sharont@hp.com || Update || Regareding to BPS SIO2234812's updates, BPS team suggest that this test only works on 2024 platform, please agree to close the issue as NFN,thanks. 
Test case only for 2024 platform. </t>
        </r>
        <r>
          <rPr>
            <sz val="9"/>
            <color indexed="81"/>
            <rFont val="宋体"/>
            <family val="3"/>
            <charset val="134"/>
          </rPr>
          <t xml:space="preserve">
</t>
        </r>
      </text>
    </comment>
    <comment ref="C164" authorId="5" shapeId="0" xr:uid="{00000000-0006-0000-0300-000020000000}">
      <text>
        <r>
          <rPr>
            <b/>
            <sz val="9"/>
            <color indexed="81"/>
            <rFont val="宋体"/>
            <family val="3"/>
            <charset val="134"/>
          </rPr>
          <t>SIO2245783 - [Teas-R2][Kombucha-R2/Oolong-R2][Refresh][U50_008420][RC-R.Pre.8]: Missing BIOS option "Prompt for DriveLwock Password on OS Restart" in F10\Security\HardDrive Utilities and BCU file.</t>
        </r>
        <r>
          <rPr>
            <sz val="9"/>
            <color indexed="81"/>
            <rFont val="宋体"/>
            <family val="3"/>
            <charset val="134"/>
          </rPr>
          <t xml:space="preserve">
</t>
        </r>
      </text>
    </comment>
    <comment ref="D164" authorId="5" shapeId="0" xr:uid="{00000000-0006-0000-0300-000021000000}">
      <text>
        <r>
          <rPr>
            <b/>
            <sz val="9"/>
            <color indexed="81"/>
            <rFont val="宋体"/>
            <family val="3"/>
            <charset val="134"/>
          </rPr>
          <t>SIO2245783 - [Teas-R2][Kombucha-R2/Oolong-R2][Refresh][U50_008420][RC-R.Pre.8]: Missing BIOS option "Prompt for DriveLwock Password on OS Restart" in F10\Security\HardDrive Utilities and BCU file.</t>
        </r>
        <r>
          <rPr>
            <sz val="9"/>
            <color indexed="81"/>
            <rFont val="宋体"/>
            <family val="3"/>
            <charset val="134"/>
          </rPr>
          <t xml:space="preserve">
</t>
        </r>
      </text>
    </comment>
    <comment ref="D184" authorId="5" shapeId="0" xr:uid="{00000000-0006-0000-0300-000022000000}">
      <text>
        <r>
          <rPr>
            <b/>
            <sz val="9"/>
            <color indexed="81"/>
            <rFont val="宋体"/>
            <charset val="134"/>
          </rPr>
          <t xml:space="preserve">SIO2240369-[Teas-R2][Kombucha-R2/Oolong-R2][Refresh][U50_008320][CF-20-7/3-96/3-70/2-51/2-30][B]: The system doesn't boot to EFI shell when WinPVT test script prompt to boot to shell.
Can reproduce this issue when Run test case 5-51 Linux Flash Utility –Logo Update with U50_008320 + Gondor Automation Test Scripts 7.76.
WinPVT test script test fail, but manual test pass. </t>
        </r>
      </text>
    </comment>
    <comment ref="C296" authorId="3" shapeId="0" xr:uid="{00000000-0006-0000-0300-000023000000}">
      <text>
        <r>
          <rPr>
            <b/>
            <sz val="10"/>
            <color indexed="81"/>
            <rFont val="新細明體"/>
            <family val="1"/>
            <charset val="136"/>
            <scheme val="minor"/>
          </rPr>
          <t>As issue retest test scope and full test this case
SIO2237510 - [Teas-R2][Kombucha-R2/Oolong-R2][Refresh][U50_008220][CF-26-4 step59/71][B]: The "Authentication Failed" PPI appeared when disable EBAM in F10 and only enter the incorrect PIN one time.
Retest pass with BIOS U50_008420.</t>
        </r>
      </text>
    </comment>
    <comment ref="D322" authorId="5" shapeId="0" xr:uid="{00000000-0006-0000-0300-000024000000}">
      <text>
        <r>
          <rPr>
            <b/>
            <sz val="9"/>
            <color indexed="81"/>
            <rFont val="宋体"/>
            <charset val="134"/>
          </rPr>
          <t xml:space="preserve">SIO2241816  [Teas-R2][Kombucha-R2/Oolong-R2][Refresh][U50_008320][CF-32-10 step9/15]: System Drive is not erased and boot to OS successful when run "Wipe on WMI Trigger.pvt" and SendThreshold_Wipe.ps1.  </t>
        </r>
        <r>
          <rPr>
            <sz val="9"/>
            <color indexed="81"/>
            <rFont val="宋体"/>
            <charset val="134"/>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趙曉君</author>
    <author>陳玲</author>
  </authors>
  <commentList>
    <comment ref="A15" authorId="0" shapeId="0" xr:uid="{E544286D-24DF-4F29-97B2-58DD06834290}">
      <text>
        <r>
          <rPr>
            <b/>
            <sz val="9"/>
            <color indexed="81"/>
            <rFont val="Tahoma"/>
            <family val="2"/>
          </rPr>
          <t>Confirmed with HP, this case is not testing scope in U50_008420, only as issue retest by ftp Server and http Server for BPS SIO2243464.</t>
        </r>
      </text>
    </comment>
    <comment ref="A16" authorId="0" shapeId="0" xr:uid="{F06BB9E0-90B6-4B5C-9DAB-84EC952A3F85}">
      <text>
        <r>
          <rPr>
            <b/>
            <sz val="9"/>
            <color indexed="81"/>
            <rFont val="Tahoma"/>
            <family val="2"/>
          </rPr>
          <t>Confirmed with HP, this case is not testing scope in U50_008420, only as issue retest by ftp Server and http Server for BPS SIO2243464.</t>
        </r>
      </text>
    </comment>
    <comment ref="C16" authorId="0" shapeId="0" xr:uid="{941224B8-A487-46DA-BEA9-5F1EE8699EC8}">
      <text>
        <r>
          <rPr>
            <b/>
            <sz val="9"/>
            <color indexed="81"/>
            <rFont val="Tahoma"/>
            <family val="2"/>
          </rPr>
          <t>SIO2249011 - [Teas-R2][Kombucha-R2/Oolong-R2][Refresh][U50_008420][EC-12-25 step45/47/91/93/136/138]: The 'downloading the catalog file' and 'download the BIOS image' screen do not appear as required by the procedure while network Update BIOS with HTTP or FTP server.</t>
        </r>
      </text>
    </comment>
    <comment ref="A17" authorId="0" shapeId="0" xr:uid="{3F8DE603-2386-4D4B-A686-FCA38C62DE52}">
      <text>
        <r>
          <rPr>
            <b/>
            <sz val="9"/>
            <color indexed="81"/>
            <rFont val="Tahoma"/>
            <family val="2"/>
          </rPr>
          <t>Confirmed with HP, this case is not testing scope in U50_008420, only as issue retest by ftp Server and http Server for BPS SIO2243464.</t>
        </r>
      </text>
    </comment>
    <comment ref="A19" authorId="0" shapeId="0" xr:uid="{07CE33B0-433C-469B-A47B-A2EA26F78E05}">
      <text>
        <r>
          <rPr>
            <b/>
            <sz val="9"/>
            <color indexed="81"/>
            <rFont val="Tahoma"/>
            <family val="2"/>
          </rPr>
          <t>Confirmed with HP, this case is not testing scope in U50_008420, only as issue retest by ftp Server and http Server for BPS SIO2243464.</t>
        </r>
      </text>
    </comment>
    <comment ref="A20" authorId="0" shapeId="0" xr:uid="{05992F0F-6F80-4D76-88E4-668F603637C5}">
      <text>
        <r>
          <rPr>
            <b/>
            <sz val="9"/>
            <color indexed="81"/>
            <rFont val="Tahoma"/>
            <family val="2"/>
          </rPr>
          <t>This is Integration test case,
Confirmed with HP, Z2 BIOS test plan does not Integration test scope, only as issue retest with BPS SIO2243065.</t>
        </r>
      </text>
    </comment>
    <comment ref="C20" authorId="0" shapeId="0" xr:uid="{33D5F818-E7E6-4657-83B4-9FCB2141A29F}">
      <text>
        <r>
          <rPr>
            <b/>
            <sz val="9"/>
            <color indexed="81"/>
            <rFont val="Tahoma"/>
            <family val="2"/>
          </rPr>
          <t>SIO2248588 - [Teas-R2][Refresh][U50_008420][CF-12-14 step16][B]:The unit stay in "Network BIOS Update Contacting server..." and doesn't report "Failure during data transfer..." when BIOS update from http server with no proxy and XML catalog file larger than 100KB.</t>
        </r>
      </text>
    </comment>
    <comment ref="A21" authorId="0" shapeId="0" xr:uid="{EF839FEA-A23A-48CF-96D6-09E0DE4AE938}">
      <text>
        <r>
          <rPr>
            <b/>
            <sz val="9"/>
            <color indexed="81"/>
            <rFont val="Tahoma"/>
            <family val="2"/>
          </rPr>
          <t>This is Integration test case,
Confirmed with HP, Z2 BIOS test plan does not Integration test scope, only as issue retest with BPS SIO2243464.</t>
        </r>
      </text>
    </comment>
    <comment ref="C21" authorId="0" shapeId="0" xr:uid="{F3DA9E10-4219-436B-A469-E6BE52E4EF35}">
      <text>
        <r>
          <rPr>
            <b/>
            <sz val="9"/>
            <color indexed="81"/>
            <rFont val="Tahoma"/>
            <family val="2"/>
          </rPr>
          <t xml:space="preserve">1. SIO2248583 - [Teas-R2][Refresh][U50_008420][CF-12-34][B]: No post "Network BIOS Update begins with an </t>
        </r>
        <r>
          <rPr>
            <b/>
            <sz val="9"/>
            <color indexed="81"/>
            <rFont val="細明體"/>
            <family val="3"/>
            <charset val="136"/>
          </rPr>
          <t>‘</t>
        </r>
        <r>
          <rPr>
            <b/>
            <sz val="9"/>
            <color indexed="81"/>
            <rFont val="Tahoma"/>
            <family val="2"/>
          </rPr>
          <t>Update type: Normal</t>
        </r>
        <r>
          <rPr>
            <b/>
            <sz val="9"/>
            <color indexed="81"/>
            <rFont val="細明體"/>
            <family val="3"/>
            <charset val="136"/>
          </rPr>
          <t>’</t>
        </r>
        <r>
          <rPr>
            <b/>
            <sz val="9"/>
            <color indexed="81"/>
            <rFont val="Tahoma"/>
            <family val="2"/>
          </rPr>
          <t>" when set Automatic BIOS Update Setting to Download and Install normal BIOS Updates Automatically without Prompts to Update BIOS by HTTP Server.
2. SIO2248589 - [Teas-R2][Refresh][U50_008420][CF-12-34 step34]:The Network BIOS Update begins with an Update type:important but not Update type:Normal when set Automatic BIOS Update Setting to "Download and Install normal...without Prompts" to Update BIOS by ftp server.</t>
        </r>
      </text>
    </comment>
    <comment ref="D52" authorId="1" shapeId="0" xr:uid="{37962958-CE2F-41C8-A1B4-843CA0090267}">
      <text>
        <r>
          <rPr>
            <b/>
            <sz val="9"/>
            <color indexed="81"/>
            <rFont val="宋体"/>
            <family val="3"/>
            <charset val="134"/>
          </rPr>
          <t xml:space="preserve">Skip 
step21：NO the BIOS NOT combined with ME on Intel units.
step23：NO option to select update or Cancel update.
</t>
        </r>
        <r>
          <rPr>
            <sz val="9"/>
            <color indexed="81"/>
            <rFont val="宋体"/>
            <family val="3"/>
            <charset val="134"/>
          </rPr>
          <t xml:space="preserve">
</t>
        </r>
      </text>
    </comment>
  </commentList>
</comments>
</file>

<file path=xl/sharedStrings.xml><?xml version="1.0" encoding="utf-8"?>
<sst xmlns="http://schemas.openxmlformats.org/spreadsheetml/2006/main" count="1063" uniqueCount="872">
  <si>
    <t>Auto Gen Program Change Log</t>
  </si>
  <si>
    <t>Version</t>
  </si>
  <si>
    <t>Date</t>
  </si>
  <si>
    <t>Author</t>
  </si>
  <si>
    <t>Change Detail</t>
  </si>
  <si>
    <t>V4.00</t>
  </si>
  <si>
    <t>Eric Wang</t>
  </si>
  <si>
    <t xml:space="preserve">V4.00 for 2024 test plan </t>
  </si>
  <si>
    <t>V3.00</t>
  </si>
  <si>
    <t xml:space="preserve">V3.00 for 2023 test plan </t>
  </si>
  <si>
    <t>V2.03</t>
  </si>
  <si>
    <t>Fix Core/EpSC for 2022 column</t>
  </si>
  <si>
    <t>V2.02</t>
  </si>
  <si>
    <t>Fix EpSC in 2021 column, Core Excel v6.58 had mark in 2021</t>
  </si>
  <si>
    <t>V2.01</t>
  </si>
  <si>
    <t>Fix EpSC, due to no mark in 2021 column for Section 8, use 2020 for instead</t>
  </si>
  <si>
    <t>V2.00</t>
  </si>
  <si>
    <t>V2.00 for 2021 BIOS Test Plan release</t>
  </si>
  <si>
    <t>V1.05</t>
  </si>
  <si>
    <t>Add DB Check List
Fix Summary count issue cause by V1.03</t>
  </si>
  <si>
    <t>V1.04</t>
  </si>
  <si>
    <t>Modify the 2020 year colum for V6.26 EpSC</t>
  </si>
  <si>
    <t>V1.03</t>
  </si>
  <si>
    <t>Add more version rows</t>
  </si>
  <si>
    <t>V1.02</t>
  </si>
  <si>
    <t>Add 2 more column for Result</t>
  </si>
  <si>
    <t>V1.01</t>
  </si>
  <si>
    <t>Add auto calculate and BIOS version at row 1
Add User Guide</t>
  </si>
  <si>
    <t>V1.00</t>
  </si>
  <si>
    <t>First Initial release</t>
  </si>
  <si>
    <t>2019 BIOS Test Plan</t>
  </si>
  <si>
    <t>Commercial BIOS Validation</t>
  </si>
  <si>
    <t>Platforms:</t>
  </si>
  <si>
    <t>2024 System</t>
  </si>
  <si>
    <t>Notice
1. Please Open the Reference Excel
2. Insert File Name with Subfile name         ex: .xlsx
3. Select Type/Target
4. Click "Create" Button
5. Click "Set Summary" Button
6. V2.00 support Core/EpSC V6.56 
7. V2.02 support Core/EpSC V6.58
8. V2.03 support Core/EpSC V6.102
9. V3.00 support 2023 platform from Core/EpSC V6.144
10. V4.00 support 2024 platform from Core/EpSC V6.184</t>
  </si>
  <si>
    <t>ROM Family:</t>
  </si>
  <si>
    <t xml:space="preserve"> VXX</t>
  </si>
  <si>
    <t>Test Matrix:</t>
  </si>
  <si>
    <t xml:space="preserve">2024 Core BIOS EpSC Test Plan </t>
  </si>
  <si>
    <t>Please Input Below</t>
  </si>
  <si>
    <t>Reference File Name:</t>
  </si>
  <si>
    <t>Test Target:</t>
  </si>
  <si>
    <t>Test Type:</t>
  </si>
  <si>
    <t>BIOS Test Plan</t>
  </si>
  <si>
    <t>Gondor Core Test Plan</t>
  </si>
  <si>
    <t>CYCLE SUMMARY</t>
  </si>
  <si>
    <t>Total Number of Available Tests:</t>
  </si>
  <si>
    <t>Total Number of Planned Tests:</t>
  </si>
  <si>
    <t>Remaining Tests:</t>
  </si>
  <si>
    <t>Total Complete:</t>
  </si>
  <si>
    <t>Passed (P):</t>
  </si>
  <si>
    <t>Failed (F):</t>
  </si>
  <si>
    <t>Under Investigation (I):</t>
  </si>
  <si>
    <t>Blocked (B):</t>
  </si>
  <si>
    <t>Not Applicable (NA):</t>
  </si>
  <si>
    <t>Not Planned (NP):</t>
  </si>
  <si>
    <t>Not Supported (NS):</t>
  </si>
  <si>
    <t>Pass</t>
  </si>
  <si>
    <t>Overall</t>
  </si>
  <si>
    <t>Fail</t>
  </si>
  <si>
    <t>Block</t>
  </si>
  <si>
    <t>Core BIOS</t>
  </si>
  <si>
    <t>NA</t>
  </si>
  <si>
    <t>NP</t>
  </si>
  <si>
    <t>Core EC_SIO</t>
  </si>
  <si>
    <t>NS</t>
  </si>
  <si>
    <t>Please Insert BIOS Version Upon the Result Column-&gt;</t>
  </si>
  <si>
    <t>BIOS Version: U50_008420_Kombucha-R2</t>
    <phoneticPr fontId="38" type="noConversion"/>
  </si>
  <si>
    <t>BIOS Version: U50_008420_Oolong-R2</t>
    <phoneticPr fontId="38" type="noConversion"/>
  </si>
  <si>
    <t>BIOS Version</t>
  </si>
  <si>
    <t>Please Insert Core Sprint Version Upon the Result Column-&gt;</t>
  </si>
  <si>
    <t>Core Sprint Version：2022.7/23-25</t>
    <phoneticPr fontId="38" type="noConversion"/>
  </si>
  <si>
    <t>Core Sprint Version</t>
  </si>
  <si>
    <t>Please Insert Core/EpSC Test Plan Version Upon the Result Column-&gt;</t>
  </si>
  <si>
    <t>TestPlanVersion Version：2024 v1.24\6.207</t>
    <phoneticPr fontId="38" type="noConversion"/>
  </si>
  <si>
    <t>TestPlanVersion Version</t>
  </si>
  <si>
    <t>Please Insert Winpvt Version Upon the Result Column-&gt;</t>
  </si>
  <si>
    <t>Winpvt Version：11.12.0</t>
    <phoneticPr fontId="38" type="noConversion"/>
  </si>
  <si>
    <t>Winpvt Version</t>
  </si>
  <si>
    <t>Please Insert Script Version Upon the Result Column-&gt;</t>
  </si>
  <si>
    <t>Script Version：7.79</t>
    <phoneticPr fontId="38" type="noConversion"/>
  </si>
  <si>
    <t>Script Version</t>
  </si>
  <si>
    <t>Test Case Number</t>
  </si>
  <si>
    <t>Test Case Name</t>
  </si>
  <si>
    <t>Result</t>
  </si>
  <si>
    <t>Total Result</t>
  </si>
  <si>
    <t>Comment</t>
  </si>
  <si>
    <t>2-2</t>
  </si>
  <si>
    <t>Multi CPU’s and Memory Channels</t>
  </si>
  <si>
    <t>2-5, 2-6</t>
  </si>
  <si>
    <t>Fastboot: Make necessary changes for F10 option  and Skip non-HDD boot options - UEFI</t>
  </si>
  <si>
    <t>2-20</t>
  </si>
  <si>
    <t>Save Custom Defaults settings using F10/ BiosConfigUtility.exe</t>
  </si>
  <si>
    <t>2-21</t>
  </si>
  <si>
    <t>APPLY FACTORY DEFAULTS</t>
  </si>
  <si>
    <t>2-19</t>
  </si>
  <si>
    <t>Save Changes and Exit</t>
  </si>
  <si>
    <t>2-23</t>
  </si>
  <si>
    <t>F10 PS2 USB keyboard and Mice Validation</t>
  </si>
  <si>
    <t>2-25-3</t>
  </si>
  <si>
    <t>Power Control Stress Test</t>
  </si>
  <si>
    <t>2-26</t>
  </si>
  <si>
    <t>Stringent Password WMI</t>
  </si>
  <si>
    <t>2-28</t>
  </si>
  <si>
    <t>F10 – Intel Test Hook – vt - vtx</t>
  </si>
  <si>
    <t>2-30</t>
  </si>
  <si>
    <t>Ready To Boot Event Signal Through UEFI DOK</t>
  </si>
  <si>
    <t>2-35</t>
  </si>
  <si>
    <t>System Information via F1</t>
  </si>
  <si>
    <t>2-37</t>
  </si>
  <si>
    <t>F10 Replicated Save and Restore Settings</t>
  </si>
  <si>
    <t>2-38</t>
  </si>
  <si>
    <t>WMI--IS BRANDING READY FOR MPM LOCK</t>
  </si>
  <si>
    <t>2-36</t>
  </si>
  <si>
    <t>Suppress Post Error Messages</t>
  </si>
  <si>
    <t>2-42</t>
  </si>
  <si>
    <t>PCIe SSD Support</t>
  </si>
  <si>
    <t>2-43</t>
  </si>
  <si>
    <t>F12 Network Boot Menu</t>
  </si>
  <si>
    <t>2-51</t>
  </si>
  <si>
    <t>Selectively Restrict USB Device Class</t>
  </si>
  <si>
    <t>2-65</t>
  </si>
  <si>
    <t>ADD BASE SKU NUMBER AND EC VERSION IN SYSTEM INFO</t>
  </si>
  <si>
    <t>2-66</t>
  </si>
  <si>
    <t>F10 Enhancement Use Balloon popup for F3 help</t>
  </si>
  <si>
    <t>2-67</t>
  </si>
  <si>
    <t>F10 ENHANCEMENT:  ENSURE THE HP STRINGS FOR THE 3RD PARTY OPROM APPLICATIONS HAVE BEEN TRANSLATED OR DEFAULT TO ENGLISH</t>
  </si>
  <si>
    <t>2-68</t>
  </si>
  <si>
    <t>F10 ENHANCEMENT - ADD TEXT WRAPPING TO LIST BOX SUPPORT</t>
  </si>
  <si>
    <t>2-69</t>
  </si>
  <si>
    <t>SUPPORT FOR REPORTING MEMORY REFERENCE CODE REVISION</t>
  </si>
  <si>
    <t>2-70</t>
  </si>
  <si>
    <t>POST ENHANCEMENT CHANGE STARTUP MENU DELAY TO STARTUP DELAY</t>
  </si>
  <si>
    <t>2-71</t>
  </si>
  <si>
    <t>Set Date and Time in BIOS</t>
  </si>
  <si>
    <t>2-72</t>
  </si>
  <si>
    <t>ALLOW DISABLING INDIVIDUAL BOOT OPTIONS IN UEFI AND LEGACY BOOT ORDER – INTERNAL LOGIC TO DISABLE OR ENABLED BOOT DEVICES</t>
  </si>
  <si>
    <t>2-73</t>
  </si>
  <si>
    <t>Memory Leak Prevention</t>
  </si>
  <si>
    <t>2-74</t>
  </si>
  <si>
    <t xml:space="preserve">ALLOW DISABLING INDIVIDUAL BOOT OPTIONS IN UEFI AND LEGACY BOOT ORDER – F10 TOUCH AND MOUSE SUPPORT </t>
  </si>
  <si>
    <t>2-76</t>
  </si>
  <si>
    <t>Add ME Mode information to Advanced Information (Intel 2017)</t>
  </si>
  <si>
    <t>2-77</t>
  </si>
  <si>
    <t>BIOS Audit Log-F10 and WMI Interface (2017)</t>
  </si>
  <si>
    <t>2-79</t>
  </si>
  <si>
    <t>Remote Diagnostics</t>
  </si>
  <si>
    <t>2-80</t>
  </si>
  <si>
    <t>RAID and Optane Default Settings</t>
  </si>
  <si>
    <t>2-81</t>
  </si>
  <si>
    <t>Honor BootOrder/BootNext Even When Fast Boot is Enabled</t>
  </si>
  <si>
    <t>2-84</t>
  </si>
  <si>
    <t>BIOS Event Logs</t>
  </si>
  <si>
    <t>2-85</t>
  </si>
  <si>
    <t>Advanced System Information Storage / CPU</t>
  </si>
  <si>
    <t>2-86</t>
  </si>
  <si>
    <t>Add Russian Language Support</t>
  </si>
  <si>
    <t>2-87</t>
  </si>
  <si>
    <t>Increase product Name from 40 characters to 60 characters</t>
  </si>
  <si>
    <t>2-88</t>
  </si>
  <si>
    <t>TEXT MODE SUPPORT FOR BIOS PREBOOT UI’S</t>
  </si>
  <si>
    <t>2-96</t>
  </si>
  <si>
    <t>[DCR 300477–300505] To add an option in F10 to prevent Ipv6 package broadcasting during the preboot phase</t>
  </si>
  <si>
    <t>3-6</t>
  </si>
  <si>
    <t>TPM F10 and Enter TPM</t>
  </si>
  <si>
    <t>3-11</t>
  </si>
  <si>
    <t>Restore Security Defaults - Production BIOS Only</t>
  </si>
  <si>
    <t>3-11-2</t>
  </si>
  <si>
    <t>Restore Security Defaults - Automation</t>
  </si>
  <si>
    <t>3-13</t>
  </si>
  <si>
    <t>Power-on Password Authentication with WMI Support</t>
  </si>
  <si>
    <t>3-15</t>
  </si>
  <si>
    <t>Power-On Password Prompt &amp; Authentication Setup</t>
  </si>
  <si>
    <t>3-16</t>
  </si>
  <si>
    <t>Wake-On-Lan Special Boot and Skip Power-On-Password</t>
  </si>
  <si>
    <t>3-17</t>
  </si>
  <si>
    <t>TPM Set to Factory Default</t>
  </si>
  <si>
    <t>3-20</t>
  </si>
  <si>
    <t>TPM DISABLE AUTO-PROVISION PPI BEHAVIOR</t>
  </si>
  <si>
    <t>3-23</t>
  </si>
  <si>
    <t>Featurebyte TPM disable (kill)</t>
  </si>
  <si>
    <t>3-24</t>
  </si>
  <si>
    <t>Setup TPM Device Control (Available/Hidden)</t>
  </si>
  <si>
    <t>3-14</t>
  </si>
  <si>
    <t>Win8.1 Boot to Firmware</t>
  </si>
  <si>
    <t>3-26</t>
  </si>
  <si>
    <t>New TPM Wording in F10 &amp; WMI</t>
  </si>
  <si>
    <t>3-30</t>
  </si>
  <si>
    <t>WIN8/WIN10 – WIN RE (RESET YOUR PC)</t>
  </si>
  <si>
    <t>3-43</t>
  </si>
  <si>
    <t>ChipSec</t>
  </si>
  <si>
    <t>3-45</t>
  </si>
  <si>
    <t>Make TPM (Enable/Disable) greyed out until TPM Available PPI is confirmed</t>
  </si>
  <si>
    <t>3-46</t>
  </si>
  <si>
    <t>TPM1.2 versus TPM2.0 Autodetect</t>
  </si>
  <si>
    <t>3-48</t>
  </si>
  <si>
    <t>Allow Feature Byte String to be cleared</t>
  </si>
  <si>
    <t>3-49</t>
  </si>
  <si>
    <t>TPM Fully Configured / Enabled (BIOS Downgrade/Upgrade/Reflash)</t>
  </si>
  <si>
    <t>3-50</t>
  </si>
  <si>
    <t>TPM Fully Configured / Enabled with Drive Lock Enabled</t>
  </si>
  <si>
    <t>3-51</t>
  </si>
  <si>
    <t>Do Not Lock Credential Services SMI Interface Until Shortly After ReadyToBoot</t>
  </si>
  <si>
    <t>3-55</t>
  </si>
  <si>
    <t>F10 Security - Remove CSM User W/ Preboot Authentication, TPM Fully Configured and DriveLock Password Enabled</t>
  </si>
  <si>
    <t>3-56</t>
  </si>
  <si>
    <t>F10 Security - BIOS Preboot Authentication W/ TPM and DriveLock Password Enabled</t>
  </si>
  <si>
    <t>3-57</t>
  </si>
  <si>
    <t>Client Security Enrollment</t>
  </si>
  <si>
    <t>3-58</t>
  </si>
  <si>
    <t>Fingerprint F10 and WMI</t>
  </si>
  <si>
    <t>3-60</t>
  </si>
  <si>
    <t>TPM Firmware Management - Flashing</t>
  </si>
  <si>
    <t>3-62</t>
  </si>
  <si>
    <t>Device Guard</t>
  </si>
  <si>
    <t>3-63</t>
  </si>
  <si>
    <t>SPI Lock Verification (Production Signed BIOS)</t>
  </si>
  <si>
    <t>3-64</t>
  </si>
  <si>
    <t>Device Guard - Memory Overwrite Request Support</t>
  </si>
  <si>
    <t>3-66</t>
  </si>
  <si>
    <t>SHUT DOWN WHEN GPI033 IS ASSERTED AND MPM IS LOCKED</t>
  </si>
  <si>
    <t>3-67</t>
  </si>
  <si>
    <t>FPT ME LOCK PROCESS VERIFICATION</t>
  </si>
  <si>
    <t>3-68</t>
  </si>
  <si>
    <t>TPM CHECK DEPENDENCIES ON PLATFORM FEATURES</t>
  </si>
  <si>
    <t>3-69</t>
  </si>
  <si>
    <t>ALLOW USER TO OPT-OUT OF GBE RECOVERY WARNING</t>
  </si>
  <si>
    <t>3-70</t>
  </si>
  <si>
    <t>MPM COUNTER COUNT DOWN AND ALLOW SET TO 255</t>
  </si>
  <si>
    <t>3-71</t>
  </si>
  <si>
    <t>HP UEFI Variables Blocked</t>
  </si>
  <si>
    <t>3-72</t>
  </si>
  <si>
    <t>MPM Reset Via Prism Server</t>
  </si>
  <si>
    <t>3-75</t>
  </si>
  <si>
    <t>Development Mode and Production Mode (Test Signed BIOS)</t>
  </si>
  <si>
    <t>3-76</t>
  </si>
  <si>
    <t>Development Mode and Production Mode (Production Signed BIOS)</t>
  </si>
  <si>
    <t>3-77</t>
  </si>
  <si>
    <t>FLASH UNLOCK ALL PRISM SERVER COMMAND</t>
  </si>
  <si>
    <t>3-78</t>
  </si>
  <si>
    <t>MPM Mode (Resize)</t>
  </si>
  <si>
    <t>3-81</t>
  </si>
  <si>
    <t>Differentiate NetClone BIOS from non-Netclone BIOS</t>
  </si>
  <si>
    <t>3-82</t>
  </si>
  <si>
    <t>Capsule BIOS Update</t>
  </si>
  <si>
    <t>3-83</t>
  </si>
  <si>
    <t>MPM – MPM REBOOT COUNTER (DEPENDENCY MPM PROTOCOL)</t>
  </si>
  <si>
    <t>3-84</t>
  </si>
  <si>
    <t xml:space="preserve">SMC COMMAND ON SYSTEM WITH NON PRODUCTION / PRODUCTION  SIGNED BIOS </t>
  </si>
  <si>
    <t>3-85</t>
  </si>
  <si>
    <t>SMC Boot without Authorization</t>
  </si>
  <si>
    <t>3-87</t>
  </si>
  <si>
    <t>SMC Enter MPM on BIOS</t>
  </si>
  <si>
    <t>3-88</t>
  </si>
  <si>
    <t>SMC enter Setup without Authorization</t>
  </si>
  <si>
    <t>3-89</t>
  </si>
  <si>
    <t>SMC Multiple UUID</t>
  </si>
  <si>
    <t>3-91</t>
  </si>
  <si>
    <t>SMC Set Factory Defaults, Retain Identity</t>
  </si>
  <si>
    <t>3-92</t>
  </si>
  <si>
    <t>3-93</t>
  </si>
  <si>
    <t xml:space="preserve">TPM ACTIVATION POLICY </t>
  </si>
  <si>
    <t>3-94</t>
  </si>
  <si>
    <t>WMI AND F10 OPTIONS TO CONTROL INTRUSION DETECTION POLICY</t>
  </si>
  <si>
    <t>3-95</t>
  </si>
  <si>
    <t>FACTORY FLASH APPLICATION THAT IS ABLE TO FULL FLASH BIOS ROM IF MPM IS UNLOCKED - BIOS REGIONS</t>
  </si>
  <si>
    <t>3-96</t>
  </si>
  <si>
    <t>FACTORY FLASH APPLICATION THAT IS ABLE TO FULL FLASH BIOS ROM IF MPM IS UNLOCKED - COMMAND LINE CONFLICTS AND BIOS INCOMPATIBILITY</t>
  </si>
  <si>
    <t>3-97</t>
  </si>
  <si>
    <t>TOUCH SCREEN KEYBOARD SUPPORT (POWER-ON PASSWORD/POWER-ON AUTHENTICATION)</t>
  </si>
  <si>
    <t>3-98</t>
  </si>
  <si>
    <t>FACTORY FLASH APPLICATION THAT IS ABLE TO FULL FLASH BIOS ROM IF MPM IS UNLOCKED - ALL REGIONS</t>
  </si>
  <si>
    <t>3-99</t>
  </si>
  <si>
    <t>REPORT "ME FIRMWARE VERSION" AS "DISABLED" WHEN ME GPIO IS ASSERTED</t>
  </si>
  <si>
    <t>3-100</t>
  </si>
  <si>
    <t>FACTORY FLASH APPLICATION THAT IS ABLE TO FULL FLASH BIOS ROM IF MPM IS UNLOCKED - ME REGION</t>
  </si>
  <si>
    <t>3-102</t>
  </si>
  <si>
    <t>SECURE BOOT KEYS: ALWAYS START IN USER MODE</t>
  </si>
  <si>
    <t>3-103</t>
  </si>
  <si>
    <t>IDENTIFY WHICH VERSION OF BUFF IS SUPPORTED IN SMBIOS</t>
  </si>
  <si>
    <t>3-104</t>
  </si>
  <si>
    <t>PROTOTYPE CUSTOM SECURE BOOT KEYS</t>
  </si>
  <si>
    <t>3-105</t>
  </si>
  <si>
    <t>Remove Prompt for BIOS Admin Password when using SMC to bypass authentication</t>
  </si>
  <si>
    <t>3-106</t>
  </si>
  <si>
    <t>Device Guard: Enable / Disable - Production BIOS Only</t>
  </si>
  <si>
    <t>3-106-2</t>
  </si>
  <si>
    <t>Device Guard: Enable / Disable - Automation</t>
  </si>
  <si>
    <t>3-107</t>
  </si>
  <si>
    <t>BITLOCKER RECOVERY KEY WHEN PIN IS ENABLED</t>
  </si>
  <si>
    <t>3-108</t>
  </si>
  <si>
    <t>PASSWORD PROMPT ORDER WHEN SINGLE SIGN ON IS ENABLED/DISABLED</t>
  </si>
  <si>
    <t>3-109</t>
  </si>
  <si>
    <t>AUTOMATIC DRIVELOCK</t>
  </si>
  <si>
    <t>3-110</t>
  </si>
  <si>
    <t xml:space="preserve">SMBASE LOCK CHECKING – CHECKING SMLOCK AND SMBASELOCK BIT =1 </t>
  </si>
  <si>
    <t>3-111</t>
  </si>
  <si>
    <t>SET BLOCK SID AUTHENTICATION COMMAND BEFORE TRANSFER CONTROL TO OS (AMD AND INTEL) SATA ONLY</t>
  </si>
  <si>
    <t>3-112</t>
  </si>
  <si>
    <t>TPM PCR(0) MEASUREMENT</t>
  </si>
  <si>
    <t>3-113</t>
  </si>
  <si>
    <t xml:space="preserve">Allow POST power on password to be changed if Admin password is not known (BCR 176282) </t>
  </si>
  <si>
    <t>3-114</t>
  </si>
  <si>
    <t xml:space="preserve">UEFI CA key disable test mode (BCR 169728  2015) </t>
  </si>
  <si>
    <t>3-117</t>
  </si>
  <si>
    <t>TPM Firmware Upgrade while BitLocker is Enabled</t>
  </si>
  <si>
    <t>3-118</t>
  </si>
  <si>
    <t>Recover from NVRAM Reclaim/Header/Link List Corruption on Systems</t>
  </si>
  <si>
    <t>3-119</t>
  </si>
  <si>
    <t>DEVICE GUARD - FIRMWARE SUPPORT FOR SMM PROTECTION, UEFI NX PROTECTION VALIDATION</t>
  </si>
  <si>
    <t>3-120</t>
  </si>
  <si>
    <t>Buff2 Allow EC write access to more regions than Intel reference allows</t>
  </si>
  <si>
    <t>3-121</t>
  </si>
  <si>
    <t>OA3 Key Not Cleared When Press CMOS Clear</t>
  </si>
  <si>
    <t>3-122</t>
  </si>
  <si>
    <t>Capsule Update BIOS Admin Password Policy (2017)</t>
  </si>
  <si>
    <t>3-124</t>
  </si>
  <si>
    <t>ADD TPM1.2 TO 2.0 UPGRADE PPI TO "TPM ACTIVATION POLICY" CONTROL</t>
  </si>
  <si>
    <t>3-125</t>
  </si>
  <si>
    <t>Time authenticated variable vulnerability (7+ CVSS)</t>
  </si>
  <si>
    <t>3-127</t>
  </si>
  <si>
    <t>FUR Support: Crisis Recovery 2017</t>
  </si>
  <si>
    <t>3-129</t>
  </si>
  <si>
    <t>Full BIOS WMI Stress Test with BIOS Admin Password</t>
  </si>
  <si>
    <t>3-130</t>
  </si>
  <si>
    <t xml:space="preserve">Full BIOS WMI Stress Test with Power On Password </t>
  </si>
  <si>
    <t>3-131</t>
  </si>
  <si>
    <t xml:space="preserve">GPT Recovery – Fast Boot Enabled </t>
  </si>
  <si>
    <t>3-140</t>
  </si>
  <si>
    <t>Hide BIOS Administrator Account in Power-On Authentication Screen</t>
  </si>
  <si>
    <t>3-143</t>
  </si>
  <si>
    <t>Remote SMC Command Support</t>
  </si>
  <si>
    <t>3-144</t>
  </si>
  <si>
    <t>Private WMI SMC Log Support</t>
  </si>
  <si>
    <t>3-146</t>
  </si>
  <si>
    <t xml:space="preserve">SMC COMMAND TO SET, UPDATE, OR CLEAR KEK </t>
  </si>
  <si>
    <t>3-147</t>
  </si>
  <si>
    <t>Add TCG Event Log Format Setting</t>
  </si>
  <si>
    <t>3-149</t>
  </si>
  <si>
    <t>Test Legacy Boot Removal</t>
  </si>
  <si>
    <t>3-150</t>
  </si>
  <si>
    <t xml:space="preserve">Move Secure Boot setting from Advanced Menu to Security Menu </t>
  </si>
  <si>
    <t>3-152</t>
  </si>
  <si>
    <t>Implement Cover Removal with Clear TPM on boot &amp; Power off upon cover removal &amp; Last Cover Removal and Count for F10 Public WMI and Audit Logs</t>
  </si>
  <si>
    <t>3-153</t>
  </si>
  <si>
    <t>D Cover: Reset Security Defaults</t>
  </si>
  <si>
    <t>3-154</t>
  </si>
  <si>
    <t>Secure Boot Keys Protection (DBX)</t>
  </si>
  <si>
    <t>3-155</t>
  </si>
  <si>
    <t>Smart Cover - Policy Changes After Cover Open Events</t>
  </si>
  <si>
    <t>3-156</t>
  </si>
  <si>
    <t>Smart Cover - Handle RTC Lost/Removed Scenarios - Core</t>
  </si>
  <si>
    <t>3-157</t>
  </si>
  <si>
    <t>Smart Cover - Verify Audit Logs as well as Corner Cases</t>
  </si>
  <si>
    <t>3-159</t>
  </si>
  <si>
    <t>Smart Cover -Verify Cover Lock functionality</t>
  </si>
  <si>
    <t>3-160</t>
  </si>
  <si>
    <t>Dynamic Root of Trust for Measurement (DRTM) - F10</t>
  </si>
  <si>
    <t>3-161</t>
  </si>
  <si>
    <t>Dynamic Root of Trust for Measurement (DRTM) - Public WMI</t>
  </si>
  <si>
    <t>3-162</t>
  </si>
  <si>
    <t>Add SHA256 capability to SMC [2021.4]</t>
  </si>
  <si>
    <t>3-163</t>
  </si>
  <si>
    <t>Add SHA384 capability to SMC [2022]</t>
  </si>
  <si>
    <t>3-164</t>
  </si>
  <si>
    <t>Configure Core settings with Android feature byte(cq)</t>
  </si>
  <si>
    <t>3-165</t>
  </si>
  <si>
    <t>Configure Platform settings with Android feature byte(cq)</t>
  </si>
  <si>
    <t>3-166</t>
  </si>
  <si>
    <t>Tamper lock: Feature byte override support testing</t>
  </si>
  <si>
    <t>3-167</t>
  </si>
  <si>
    <t>Virtualization Based BIOS Protection F10 Settings</t>
  </si>
  <si>
    <t>3-168</t>
  </si>
  <si>
    <t>F10/public WMI dependencies between VBBP and VTx (Intel)</t>
  </si>
  <si>
    <t>3-169</t>
  </si>
  <si>
    <t>VBBP Test Signed Bios and AxB Test Mode Enabled</t>
  </si>
  <si>
    <t>3-170</t>
  </si>
  <si>
    <t>VBBP Production Signed or Test Signed Bios with AxB Test Mode Disabled</t>
  </si>
  <si>
    <t>3-171</t>
  </si>
  <si>
    <t>VBBP Production Signed or Test Signed Bios with AxB Test Mode Disabled with Authentication</t>
  </si>
  <si>
    <t>3-172</t>
  </si>
  <si>
    <t>F10/public WMI dependencies between AxB and SVM (AMD)</t>
  </si>
  <si>
    <t>3-173</t>
  </si>
  <si>
    <t>Get and Compare PCR1 Digest Value (EV_EFI_Handoff_Table)</t>
  </si>
  <si>
    <t>3-174</t>
  </si>
  <si>
    <t>Drivelock Event Logging</t>
  </si>
  <si>
    <t>3-175</t>
  </si>
  <si>
    <t>TPM Updates with AMD Pro and Intel vPro</t>
  </si>
  <si>
    <t>3-176</t>
  </si>
  <si>
    <t>RTC Battery Removal Policy</t>
  </si>
  <si>
    <t>3-177</t>
  </si>
  <si>
    <t>MS Digital Marker Corruption and Recovery</t>
  </si>
  <si>
    <t>3-178</t>
  </si>
  <si>
    <t>Hard-bricking after DB update - test failing via MSFT UEFI test guidance</t>
  </si>
  <si>
    <t>3-179</t>
  </si>
  <si>
    <t>Secure Boot Var Data Corruption Test</t>
  </si>
  <si>
    <t>3-180</t>
  </si>
  <si>
    <t>AxB Kill feature byte</t>
  </si>
  <si>
    <t>3-181</t>
  </si>
  <si>
    <t>EpSC'24 Device Identity</t>
  </si>
  <si>
    <t>3-182</t>
  </si>
  <si>
    <t xml:space="preserve">Drive Lock Auto Unlock </t>
  </si>
  <si>
    <t>4-11</t>
  </si>
  <si>
    <t>Incorporate SMBIOS Changes and new filenames to support new Advanced Diagnostics signed with 2017 signing keys</t>
  </si>
  <si>
    <t>4-12</t>
  </si>
  <si>
    <t>Diags Paths on USB for 2017 Signed Diags</t>
  </si>
  <si>
    <t>4-13</t>
  </si>
  <si>
    <t>Create UEFI app to verify critical data regions(gBS, gST, gRT) and code regions are protected from DMA transaction and Create UEFI App to compare UEFI memory and VTD page table entries</t>
  </si>
  <si>
    <t>5-3</t>
  </si>
  <si>
    <t>Redefine Apply Factory Defaults and Exit Action</t>
  </si>
  <si>
    <t>5-6</t>
  </si>
  <si>
    <t>Boot Order UEFI Boot Order</t>
  </si>
  <si>
    <t>5-15</t>
  </si>
  <si>
    <t>F11 Recovery</t>
  </si>
  <si>
    <t>5-20</t>
  </si>
  <si>
    <t>UEFI Boot Order Changes from WMI</t>
  </si>
  <si>
    <t>5-22</t>
  </si>
  <si>
    <t>Seamless Boot</t>
  </si>
  <si>
    <t>5-23</t>
  </si>
  <si>
    <t>Windows to Go Boot to UEFI</t>
  </si>
  <si>
    <t>5-27</t>
  </si>
  <si>
    <t>USB AS A BOOT DEVICE-ENABLE/DISABLE  /  USB as a Boot Device - Enable/Disable</t>
  </si>
  <si>
    <t>5-28</t>
  </si>
  <si>
    <t>OPTICAL DRIVE AS A BOOT DEVICE--ENABLE/DISABLE</t>
  </si>
  <si>
    <t>5-38</t>
  </si>
  <si>
    <t>Boot HP Logo</t>
  </si>
  <si>
    <t>5-43</t>
  </si>
  <si>
    <t>BIOS Build Version</t>
  </si>
  <si>
    <t>5-44</t>
  </si>
  <si>
    <t>Win 10 PBR Changes</t>
  </si>
  <si>
    <t>5-45</t>
  </si>
  <si>
    <t>PEI-B CORRUPTION AND RECOVERY ON SURESTART SYSTEMS</t>
  </si>
  <si>
    <t>5-47</t>
  </si>
  <si>
    <t>PORT NTFS DRIVER</t>
  </si>
  <si>
    <t>5-48</t>
  </si>
  <si>
    <t>POST UI ENHANCEMENT DISPLAY SELECTED FUNCTION KEY &amp; ACTION</t>
  </si>
  <si>
    <t>5-49</t>
  </si>
  <si>
    <t>Custom Logo Support in Windows</t>
  </si>
  <si>
    <t>5-50</t>
  </si>
  <si>
    <t>ALLOW SYSTEM INFORMATION TO BE SEEN EVEN WHEN POWER ON PASSWORD IS IN PLACE BCR 179919</t>
  </si>
  <si>
    <t>5-51</t>
  </si>
  <si>
    <t>LINUX FLASH UTILITY – LOGO UPDATE</t>
  </si>
  <si>
    <t>5-52</t>
  </si>
  <si>
    <t>Linux Repsetup Utility</t>
  </si>
  <si>
    <t>5-54</t>
  </si>
  <si>
    <t>Support Soft USB Keyboard for POST Popups (BCR 190581)</t>
  </si>
  <si>
    <t>5-55</t>
  </si>
  <si>
    <t>POR Support SMBIOS 3.1</t>
  </si>
  <si>
    <t>5-57</t>
  </si>
  <si>
    <t>Networking Clear EDK2 Network Settings</t>
  </si>
  <si>
    <t>5-58</t>
  </si>
  <si>
    <t>Network BitLocker Unlock</t>
  </si>
  <si>
    <t>5-59</t>
  </si>
  <si>
    <t xml:space="preserve">Preboot wifi: policy to allow for post wifi/network connection delay before allowing boot to proceed </t>
  </si>
  <si>
    <t>5-60</t>
  </si>
  <si>
    <t>BIOS NEEDS TO SUPPORT TOUCH PANEL AS DEFAULT IF THERE IS NO FEATURE BYTE (BCR234100)</t>
  </si>
  <si>
    <t>5-65</t>
  </si>
  <si>
    <t>System Vulnerability Testing</t>
  </si>
  <si>
    <t>6-4</t>
  </si>
  <si>
    <t xml:space="preserve"> HP WMI (Private) WINPVT - (Private) WMI Commands</t>
  </si>
  <si>
    <t>6-5</t>
  </si>
  <si>
    <t>Bios Administrator Password  - Setup, change, Policy</t>
  </si>
  <si>
    <t>6-6</t>
  </si>
  <si>
    <t>Feature Byte</t>
  </si>
  <si>
    <t>6-8</t>
  </si>
  <si>
    <t>System Information Verification Via BCU</t>
  </si>
  <si>
    <t>6-11</t>
  </si>
  <si>
    <t>Robust Microcode Patch Image</t>
  </si>
  <si>
    <t>6-18</t>
  </si>
  <si>
    <t>SMBIOS Data Verification UEFI &amp; RW</t>
  </si>
  <si>
    <t>6-25</t>
  </si>
  <si>
    <t>NVS Reclaim (WinPVT) (Interactive Only)</t>
  </si>
  <si>
    <t>6-26</t>
  </si>
  <si>
    <t>WMI BIOS Configuration Implementation</t>
  </si>
  <si>
    <t>6-29</t>
  </si>
  <si>
    <t>Report Errors from SMM</t>
  </si>
  <si>
    <t>6-30</t>
  </si>
  <si>
    <t>HP WMI BIOS (Public) Interface Test</t>
  </si>
  <si>
    <t>6-34</t>
  </si>
  <si>
    <t>WMI Stress - Public And Private WMI Calls (WinPVT) - Overnight</t>
  </si>
  <si>
    <t>6-35</t>
  </si>
  <si>
    <t>BIOS Specifications (WinPVT)</t>
  </si>
  <si>
    <t>6-36</t>
  </si>
  <si>
    <t>Alias for Feature Byte</t>
  </si>
  <si>
    <t>6-38</t>
  </si>
  <si>
    <t>Add Win10 Featurebyte to Gondor</t>
  </si>
  <si>
    <t>6-39</t>
  </si>
  <si>
    <t>REMOVE USB RELATED ITEMS WHEN USB KILL FEATUREBYTE IS ACTIVE</t>
  </si>
  <si>
    <t>6-41</t>
  </si>
  <si>
    <t>MICROCODE REVISION VERIFICATION FOR SKYLAKE – SINGLE &amp; MULTI CPU</t>
  </si>
  <si>
    <t>6-43</t>
  </si>
  <si>
    <t>ALLOW DISABLING INDIVIDUAL BOOT OPTIONS IN UEFI AND LEGACY BOOT ORDER USING WMI</t>
  </si>
  <si>
    <t>6-45</t>
  </si>
  <si>
    <t xml:space="preserve">PPI TO DISABLE MOST OTHER PPI </t>
  </si>
  <si>
    <t>6-46</t>
  </si>
  <si>
    <t>Feature Byte (Stress Test)</t>
  </si>
  <si>
    <t>6-47</t>
  </si>
  <si>
    <t>[SPLIT] Add a BCU setting to “Force Cold Boot” with values of Enable, Disable, and Once</t>
  </si>
  <si>
    <t>6-51</t>
  </si>
  <si>
    <t>HP_Disk0Map Configuration</t>
  </si>
  <si>
    <t>7-4</t>
  </si>
  <si>
    <t>SMBIOS FLASH COMPARE (WinPVT)</t>
  </si>
  <si>
    <t>7-9</t>
  </si>
  <si>
    <t>WinPVT Bios Flash Backup on GPT and HP_Tools Partition</t>
  </si>
  <si>
    <t>7-13</t>
  </si>
  <si>
    <t>HPBIOSUPDREC Flash in Delay Mode with SATA in RAID Mode</t>
  </si>
  <si>
    <t>7-21</t>
  </si>
  <si>
    <t>Flash BIOS Update Via HPBIOSUPREC In Delay Mode With Bitlocker Enabled - GPT Partition</t>
  </si>
  <si>
    <t>7-25</t>
  </si>
  <si>
    <t>BIOS ROLLBACK PPI: BLOCK ROLLBACKS WHEN A MINIMUM BIOS VERSION EXISTS - FUR</t>
  </si>
  <si>
    <t>7-26</t>
  </si>
  <si>
    <t>BIOS ROLLBACK PPI: F10 AND WMI OPTIONS FOR BIOS ROLLBACK</t>
  </si>
  <si>
    <t>7-27</t>
  </si>
  <si>
    <t>BIOS ROLLBACK PPI: PPI IF USER ATTEMPTS TO ROLL BACK BIOS</t>
  </si>
  <si>
    <t>7-28</t>
  </si>
  <si>
    <t>BIOS ROLLBACK PPI: PREVENT ROLLBACK TO BIOS ON ANY BLOCKED LIST DURING BIOS RECOVERY</t>
  </si>
  <si>
    <t>7-29</t>
  </si>
  <si>
    <t>BIOS Rollback PPI: Look on USB key if no HP_Tools or ESP partition</t>
  </si>
  <si>
    <t>7-30</t>
  </si>
  <si>
    <t>BIOS RECOVERY IMAGE: RECOVER WHEN E-LABEL OR PSP REGION IS PRESENT</t>
  </si>
  <si>
    <t>7-32</t>
  </si>
  <si>
    <t>LINUX FLASH UTILITY BIOS UPDATE</t>
  </si>
  <si>
    <t>7-33</t>
  </si>
  <si>
    <t>BIOS UPGRADE/DOWNGRADE (TEST TO TEST)</t>
  </si>
  <si>
    <t>7-34</t>
  </si>
  <si>
    <t>BIOS UPGRADE/DOWNGRADE (PRODUCTION TO PRODUCTION)</t>
  </si>
  <si>
    <t>7-35</t>
  </si>
  <si>
    <t>BIOS Upgrade/Downgrade (TEST and PRODUCTION)</t>
  </si>
  <si>
    <t>7-36</t>
  </si>
  <si>
    <t>Version Changes 2017 Buff Flashing</t>
  </si>
  <si>
    <t>7-37</t>
  </si>
  <si>
    <t>Buff2: Allow family over-ride for platforms which have multiple CPU generations</t>
  </si>
  <si>
    <t>7-38</t>
  </si>
  <si>
    <t>BIOS Update Via FUR</t>
  </si>
  <si>
    <t>7-39</t>
  </si>
  <si>
    <t>FUR Update System Firmware from F10</t>
  </si>
  <si>
    <t>7-40</t>
  </si>
  <si>
    <t>BIOS Upgrade Downgrade Using HPFWUPDREC</t>
  </si>
  <si>
    <t>7-42</t>
  </si>
  <si>
    <t>DISPLAY OPTIONAL REASON TEXT ON BLOCKED BIOS UPDATE SCREEN</t>
  </si>
  <si>
    <t>7-43</t>
  </si>
  <si>
    <t xml:space="preserve">ENABLE OR DISABLE CAPSULE UPDATE - NATIVE OS FIRMWARE UPDATE SERVICE </t>
  </si>
  <si>
    <t>7-44</t>
  </si>
  <si>
    <t>Fort Knox 2017 B 16B1 - BIOS Rollback policy in EC</t>
  </si>
  <si>
    <t>7-45</t>
  </si>
  <si>
    <t>Add NTFS Support for FW Update</t>
  </si>
  <si>
    <t>7-46</t>
  </si>
  <si>
    <t xml:space="preserve">BIOS Folder Cleanup </t>
  </si>
  <si>
    <t>7-48</t>
  </si>
  <si>
    <t>BIOS Update Screen UX Improvement (FUR)</t>
  </si>
  <si>
    <t>7-51</t>
  </si>
  <si>
    <t>BIOS Update Screen UX Improvement  (ME Recovery)</t>
  </si>
  <si>
    <t>7-52</t>
  </si>
  <si>
    <t>BIOS update in SFU platforms - Phase 1 test</t>
  </si>
  <si>
    <t>7-53</t>
  </si>
  <si>
    <t>Update other BIOS policies if Lock BIOS version is enabled</t>
  </si>
  <si>
    <t>7-54</t>
  </si>
  <si>
    <t xml:space="preserve">Update BIOS update module to skip BAP/BEAM authentication on rollback </t>
  </si>
  <si>
    <t>7-55</t>
  </si>
  <si>
    <t>Validate power state transition scenario during SFU BIOS update</t>
  </si>
  <si>
    <t>7-56</t>
  </si>
  <si>
    <t>Validate power state transition scenario during SFU BIOS update - S3 Only</t>
  </si>
  <si>
    <t>7-57</t>
  </si>
  <si>
    <t>SFU Capsule update thru FUR with WU service</t>
  </si>
  <si>
    <t>9-1</t>
  </si>
  <si>
    <t>ACPI 5.0 support</t>
  </si>
  <si>
    <t>9-3</t>
  </si>
  <si>
    <t xml:space="preserve">DISABLE WPBT ON BOOTING TO A USB DEVICE (BCR 253577) </t>
  </si>
  <si>
    <t>11-4</t>
  </si>
  <si>
    <t>SCT Runtime Services Test (Over Night)</t>
  </si>
  <si>
    <t>11-5</t>
  </si>
  <si>
    <t>SCT ACPI Table Protocol Test</t>
  </si>
  <si>
    <t>20-1</t>
  </si>
  <si>
    <t>Public WMI Changes (Update 2, Based On OS Recovery BIOS Interface Spec. R07)</t>
  </si>
  <si>
    <t>20-2</t>
  </si>
  <si>
    <t>Provisioning Support (Based On OS Recovery BIOS Interface Spec. R07)</t>
  </si>
  <si>
    <t>20-3</t>
  </si>
  <si>
    <t>“OS Recovery Configuration” Private WMI Command</t>
  </si>
  <si>
    <t>20-4</t>
  </si>
  <si>
    <t>“OS Recovery Trigger Recovery” Private WMI Command</t>
  </si>
  <si>
    <t>20-5</t>
  </si>
  <si>
    <t>“OS Recovery Status” Private WMI Command</t>
  </si>
  <si>
    <t>20-6</t>
  </si>
  <si>
    <t>F10 Changes (Update 2, Based On OS Recovery BIOS Interface Spec. R07)</t>
  </si>
  <si>
    <t>20-7</t>
  </si>
  <si>
    <t>HP Recovery Environment Input Variables (Based On OS Recovery BIOS Interface Spec. R07)</t>
  </si>
  <si>
    <t>20-8</t>
  </si>
  <si>
    <t>Remove OS Recovery Items From F10 On Unsupported Platforms</t>
  </si>
  <si>
    <t>20-9</t>
  </si>
  <si>
    <t>“OS Recovery Remove Provisioning” Private WMI Command</t>
  </si>
  <si>
    <t>20-10</t>
  </si>
  <si>
    <t>Local User Notification and Options After Managed Platform Recovery Failures</t>
  </si>
  <si>
    <t>20-11</t>
  </si>
  <si>
    <t>UEFI Boot Failure Policy (Functional Code)</t>
  </si>
  <si>
    <t>20-12</t>
  </si>
  <si>
    <t>F10 and WMI (Update #3)</t>
  </si>
  <si>
    <t>20-13</t>
  </si>
  <si>
    <t>F11 Behavior</t>
  </si>
  <si>
    <t>20-14</t>
  </si>
  <si>
    <t>OS Recovery Needed Variable</t>
  </si>
  <si>
    <t>20-15</t>
  </si>
  <si>
    <t>Log The Start of the OS Recovery Process</t>
  </si>
  <si>
    <t>20-16</t>
  </si>
  <si>
    <t>Verify Recovery Agent Signature Before Launching It (Houston Only)</t>
  </si>
  <si>
    <t>20-17</t>
  </si>
  <si>
    <t>Setting/Updating/Removing the RTC Alarm for Scheduled OS Recovery</t>
  </si>
  <si>
    <t>20-18</t>
  </si>
  <si>
    <t>Update Recovery File Downloads to Include Size Check Using Size Field in Manifest (Houston Only)</t>
  </si>
  <si>
    <t>20-20</t>
  </si>
  <si>
    <t>Launching Scheduled OS Recovery</t>
  </si>
  <si>
    <t>20-21</t>
  </si>
  <si>
    <t>Platform OS Recovery Secure Interfaces and Variables</t>
  </si>
  <si>
    <t>20-26</t>
  </si>
  <si>
    <t>HP Sure Recover: Publish the Modulus of the OS Recovery Public</t>
  </si>
  <si>
    <t>20-27</t>
  </si>
  <si>
    <t>Use HTTP Protocol Instead of FTP Protocol for Network Transactions</t>
  </si>
  <si>
    <t>20-33</t>
  </si>
  <si>
    <t>OS Recovery: Publish the active network profile to the Recovery Agent</t>
  </si>
  <si>
    <t>20-34</t>
  </si>
  <si>
    <t xml:space="preserve">OS Recovery: Support WPA2-Personal </t>
  </si>
  <si>
    <t>20-35</t>
  </si>
  <si>
    <t>HP Sure Recover: When scheduled/managed OS Recovery engages, do not prompt the user for on-demand Wi-Fi config</t>
  </si>
  <si>
    <t>20-37</t>
  </si>
  <si>
    <t>HP Sure Recover: Honor the "Wi-Fi enabled" bit specified by the OS Recovery Configuration private WMI command</t>
  </si>
  <si>
    <t>20-38</t>
  </si>
  <si>
    <t>HP Sure Recover: Add BIOS support for retry delay, retry count, and retries exhausted user prompt</t>
  </si>
  <si>
    <t>20-41</t>
  </si>
  <si>
    <t>Failover F10 Info Display</t>
  </si>
  <si>
    <t>20-42</t>
  </si>
  <si>
    <t>OS Recovery Failover - Mutliple Network Sources</t>
  </si>
  <si>
    <t>20-44</t>
  </si>
  <si>
    <t xml:space="preserve">OS Recovery: Over WiFi and Wired - non-proxy </t>
  </si>
  <si>
    <t>21-1</t>
  </si>
  <si>
    <t>HP Sure Run Feature Byte Enabled Functions</t>
  </si>
  <si>
    <t>21-2</t>
  </si>
  <si>
    <t>HP Sure Run Feature Byte Diabled Functions</t>
  </si>
  <si>
    <t>21-8</t>
  </si>
  <si>
    <t>Clearing/Resetting of SPM/HP Sure Run via SMC/PRISM &amp; "Reload Security Defaults" Unprovisions/Deactivates SPM, HP Sure Run, Platform Recovery</t>
  </si>
  <si>
    <t>21-9</t>
  </si>
  <si>
    <t>P21 AND HEP INVALID COMMAND WITH WRONG KEY</t>
  </si>
  <si>
    <t>21-12</t>
  </si>
  <si>
    <t>Support Both HP Sure Run and Absolute via Single WPBT</t>
  </si>
  <si>
    <t>21-14</t>
  </si>
  <si>
    <t>Update Sure Run code to include support for dynamic persistence &amp; device injection</t>
  </si>
  <si>
    <t>21-23</t>
  </si>
  <si>
    <t>Hide "Deactivate HP Sure Run" setting when given 'gk.' feature byte configuration</t>
  </si>
  <si>
    <t>21-24</t>
  </si>
  <si>
    <t>Provision/Deprovision SPM in F10</t>
  </si>
  <si>
    <t>21-25</t>
  </si>
  <si>
    <t>Validate SPM Provisioning PPI Pop Up and Press ESC Key on Bitlocker Enabled System</t>
  </si>
  <si>
    <t>22-1</t>
  </si>
  <si>
    <t>Store Admin Password in Private SPI EC/SIO</t>
  </si>
  <si>
    <t>22-2</t>
  </si>
  <si>
    <t xml:space="preserve">Secure Boot Keys Protection Non-Automated </t>
  </si>
  <si>
    <t>22-3</t>
  </si>
  <si>
    <t>Sure Start to Retain HBMA Address EC/SIO Revision</t>
  </si>
  <si>
    <t>22-4</t>
  </si>
  <si>
    <t>Secure Boot Keys Protection - UEFI CA Handling</t>
  </si>
  <si>
    <t>22-5</t>
  </si>
  <si>
    <t>Security Event Notification</t>
  </si>
  <si>
    <t>22-6</t>
  </si>
  <si>
    <t>BIOS Policy Setting – PPI/Secure Boot Key Protection/SureStart BIOS Protection with/without Admin Password</t>
  </si>
  <si>
    <t>26-3</t>
  </si>
  <si>
    <t>BEAM: LAK AND QR PIN</t>
  </si>
  <si>
    <t>26-4</t>
  </si>
  <si>
    <t>BEAM: LAK QR PIN TIMEOUT</t>
  </si>
  <si>
    <t>26-8</t>
  </si>
  <si>
    <t>BEAM: QR PIN ENTRY TIMEOUT AND INVALID PIN ENHANCEMENTS</t>
  </si>
  <si>
    <t>26-9</t>
  </si>
  <si>
    <t>BEAM: UPDATE BAP VIA LAK AUTHENTICATION</t>
  </si>
  <si>
    <t>26-10</t>
  </si>
  <si>
    <t>BEAM: SMC COMMAND AND LAK/BEAM</t>
  </si>
  <si>
    <t>26-11</t>
  </si>
  <si>
    <t>BEAM: DISABLE P21/SPM FROM F10</t>
  </si>
  <si>
    <t>26-12</t>
  </si>
  <si>
    <t>BEAM: SURE START BIOS SETTINGS PROTECTION AND LAK/BEAM</t>
  </si>
  <si>
    <t>26-13</t>
  </si>
  <si>
    <t>BEAM: SURE START BIOS SETTINGS PROTECTION AND LAK - PREBOOT/RECOVERY BEHAVIOUR</t>
  </si>
  <si>
    <t>26-17</t>
  </si>
  <si>
    <t>BEAM: CUSTOM LOGO AND LAK/BEAM</t>
  </si>
  <si>
    <t>26-18</t>
  </si>
  <si>
    <t>BEAM: DEVICE GUARD WITH LAK AND BEAM</t>
  </si>
  <si>
    <t>26-21</t>
  </si>
  <si>
    <t>BEAM: INTEL AMT/MEBX</t>
  </si>
  <si>
    <t>26-28</t>
  </si>
  <si>
    <t>BEAM: DISABLE GLOBAL PPI VIA SIGNATURE VERIFICATION</t>
  </si>
  <si>
    <t>26-29</t>
  </si>
  <si>
    <t>BEAM: DESKTOPS AND JUMPER</t>
  </si>
  <si>
    <t>26-30</t>
  </si>
  <si>
    <t>BEAM: ADD SUPPORT FOR KEY ENROLLMENT DATA BLOB</t>
  </si>
  <si>
    <t>26-31</t>
  </si>
  <si>
    <t>BEAM: REMOTE MANAGEMENT OF FIRMWARE UPDATES WITH FUR AND BEAM/LAK ENABLED</t>
  </si>
  <si>
    <t>26-32</t>
  </si>
  <si>
    <t>BEAM: BIOS Update</t>
  </si>
  <si>
    <t>31-2</t>
  </si>
  <si>
    <t>Get Key Info, Get Key Owner Info, Set Key WMI with Targeting Support</t>
  </si>
  <si>
    <t>31-8</t>
  </si>
  <si>
    <t>Managed By String</t>
  </si>
  <si>
    <t>31-9</t>
  </si>
  <si>
    <t>Managed By Corrupt Key</t>
  </si>
  <si>
    <t>31-10</t>
  </si>
  <si>
    <t>Multikey &amp; P21</t>
  </si>
  <si>
    <t>31-12</t>
  </si>
  <si>
    <t>Grey Out HP Cloud Managed in F10 when Threshold Key is Provisioned</t>
  </si>
  <si>
    <t>32-2</t>
  </si>
  <si>
    <t>Lock on WMI Trigger</t>
  </si>
  <si>
    <t>32-3</t>
  </si>
  <si>
    <t>FLIP Lock - Skips DriveLock</t>
  </si>
  <si>
    <t>32-6</t>
  </si>
  <si>
    <t>Remote Device Management Mode/Status in F10</t>
  </si>
  <si>
    <t>32-7</t>
  </si>
  <si>
    <t>Restore Security Settings to Factory Defaults (RSSTFD)</t>
  </si>
  <si>
    <t>32-8</t>
  </si>
  <si>
    <t>Send Threshold Command and "Get Threshold Support" in WMI</t>
  </si>
  <si>
    <t>32-9</t>
  </si>
  <si>
    <t>WIPE Drive Testing w/ Encryption</t>
  </si>
  <si>
    <t>32-10</t>
  </si>
  <si>
    <t>WIPE Drive Testing w/o Encryption</t>
  </si>
  <si>
    <t>32-12</t>
  </si>
  <si>
    <t>Clear Pending FLIP Commands via SMC</t>
  </si>
  <si>
    <t>32-13</t>
  </si>
  <si>
    <t>FLIP: Skip BIOS Update</t>
  </si>
  <si>
    <t>32-14</t>
  </si>
  <si>
    <t>FLIP Device Check</t>
  </si>
  <si>
    <t>8-139</t>
  </si>
  <si>
    <t>Thunderbolt Alt-Mode Off/On</t>
  </si>
  <si>
    <t>8-150</t>
  </si>
  <si>
    <t>Sanitization Mode: Enable/Disable Touch and Keyboard</t>
  </si>
  <si>
    <t>8-166</t>
  </si>
  <si>
    <t>ECRAM COHERENCY</t>
  </si>
  <si>
    <t>8-173</t>
  </si>
  <si>
    <t>Stress Test for Private SPI NVRAM Variables</t>
  </si>
  <si>
    <t>8-183</t>
  </si>
  <si>
    <t>Add HP EpSC GUID BIOS Setting</t>
  </si>
  <si>
    <t>12-1</t>
  </si>
  <si>
    <t>BIOS Normal Update From HP.com and No Proxy – PRODUCTION BIOS</t>
  </si>
  <si>
    <t>12-17</t>
  </si>
  <si>
    <t>SCHEDULED BIOS (INSTALL ALL BIOS UPDATES) FROM HP.COM WITH PROXY  – PRODUCTION BIOS</t>
  </si>
  <si>
    <t>12-19</t>
  </si>
  <si>
    <t>SCHEDULED BIOS (INSTALL USER DECIDED  BIOS UPDATES) FROM HP.COM WITH PROXY  – PRODUCTION BIOS</t>
  </si>
  <si>
    <t>12-21</t>
  </si>
  <si>
    <t>SCHEDULED BIOS (INSTALL ONLY IMPORTANT  BIOS UPDATES) WITH PROXY FROM CUSTOM URL</t>
  </si>
  <si>
    <t>12-25</t>
  </si>
  <si>
    <t>SCHEDULED BIOS (INSTALL ONLY IMPORTANT  OR ALL BIOS UPDATES) (BIOS ADMIN PASS + POST POWER ON PASSWORD) WITH PROXY FROM CUSTOM URL</t>
  </si>
  <si>
    <t>12-26</t>
  </si>
  <si>
    <t>SCHEDULED BIOS (INSTALL USER DECIDED  BIOS UPDATES) (BIOS ADMIN PASS + POST POWER ON PASSWORD) WITH PROXY FROM CUSTOM URL</t>
  </si>
  <si>
    <t>12-35</t>
  </si>
  <si>
    <t>BIOS Normal Update from Custom Url  with Proxy – Production BIOS</t>
  </si>
  <si>
    <t>12-36</t>
  </si>
  <si>
    <t>BIOS Update Screen UX Improvement (Network Update)</t>
  </si>
  <si>
    <t>12-14</t>
  </si>
  <si>
    <t>BIOS Normal Update From Custom URL With No Proxy and XML File Larger Than 100 KB</t>
  </si>
  <si>
    <t>12-34</t>
  </si>
  <si>
    <t>DOWNLOAD AND INSTALL BIOS UPDATES AUTOMATICALLY WITHOUT PROMPTS</t>
  </si>
  <si>
    <t>13-1</t>
  </si>
  <si>
    <t>SSL - SHARED FLASH BOOT BLOCK-A CORRUPTION</t>
  </si>
  <si>
    <t>13-2</t>
  </si>
  <si>
    <t>SSL - SHARED FLASH BOOT BLOCK-B CORRUPTION</t>
  </si>
  <si>
    <t>13-7</t>
  </si>
  <si>
    <t xml:space="preserve">SSL - S3(STANDBY) RESUME INTERFERENCE TESTING </t>
  </si>
  <si>
    <t>13-11</t>
  </si>
  <si>
    <t xml:space="preserve">SSL - FLASH COMPLETE FLAG CORRUPTION BOOT BLOCK A AND B </t>
  </si>
  <si>
    <t>14-1</t>
  </si>
  <si>
    <t>TEST WITH PRODUCTION SIGNED BIOS</t>
  </si>
  <si>
    <t>14-2</t>
  </si>
  <si>
    <t>BIOS F10 SETTINGS FOR  FIREBIRD POLICY WITH AUTOMATION</t>
  </si>
  <si>
    <t>14-4</t>
  </si>
  <si>
    <t>BIOS F10 SETTING FOR FIREBIRD SETTING WITH MANUAL MODE</t>
  </si>
  <si>
    <t>14-11</t>
  </si>
  <si>
    <t xml:space="preserve">COLD RESET - BB RECOVERY – SHARED FLASH BOOT BLOCK CORRUPTION WITH UNLOCK AUTO MODE </t>
  </si>
  <si>
    <t>14-14</t>
  </si>
  <si>
    <t xml:space="preserve">COLD RESET - BB RECOVERY- PRIVATE FLASH BB CORRUPTION WITH UNLOCK/AUTO MODE </t>
  </si>
  <si>
    <t>14-17</t>
  </si>
  <si>
    <t>BB RECOVERY – SHARED FLASH BOOT BLOCK CORRUPTION WITH AUTO/LOCKED MODE</t>
  </si>
  <si>
    <t>14-23</t>
  </si>
  <si>
    <t>BB RECOVERY – SHARED FLASH BOOT BLOCK CORRUPTION WITH UNLOCK, AUTO AND AGGRESSIVE ON</t>
  </si>
  <si>
    <t>14-24</t>
  </si>
  <si>
    <t>BB RECOVERY – SHARED FLASH BOOT BLOCK CORRUPTION WITH UNLOCK AUTO MODE ON S0</t>
  </si>
  <si>
    <t>14-27</t>
  </si>
  <si>
    <t>DESCRIPTOR RECOVERY – SHARED FLASH DESCRIPTOR WITH ME OFF, AGGRESSIVE ON, AUTO MODE</t>
  </si>
  <si>
    <t>14-32</t>
  </si>
  <si>
    <t>GBE RECOVERY – SHARED FLASH GBE WITH AGGRESSIVE ON, GBE ENABLE, AUTO MODE</t>
  </si>
  <si>
    <t>14-39</t>
  </si>
  <si>
    <t>MUD RECOVERY – SHARED FLASH MUD WITH AGGRESSIVE ON, MANUAL MODE</t>
  </si>
  <si>
    <t>14-54</t>
  </si>
  <si>
    <t>STRESS TEST  – BB SHARED RECOVERY ON S0</t>
  </si>
  <si>
    <t>14-57</t>
  </si>
  <si>
    <t>DXE RECOVERY – SHARED FLASH DXE-A CORRUPTION WITH UNLOCK AUTO MODE</t>
  </si>
  <si>
    <t>14-63</t>
  </si>
  <si>
    <t>MUD Recovery - Shared Flash MUD with ME Off, Agressive Off, Manual Mode</t>
  </si>
  <si>
    <t>14-75</t>
  </si>
  <si>
    <t>PVT SPI Capture BB/DXE on Factory Mode – Compare Capture Time with PVT Flash Empty or Not</t>
  </si>
  <si>
    <t>14-76</t>
  </si>
  <si>
    <t>Sure Start verify Boot block twice before conclude the corruption</t>
  </si>
  <si>
    <t>15-15</t>
  </si>
  <si>
    <t>Cypress/TI_AR - Message ID: 3 DEVICE REQUESTS TOO MUCH POWER</t>
  </si>
  <si>
    <t>15-32</t>
  </si>
  <si>
    <t>Cypress/TI_AR - MESSAGE ID: 13 PORT OVER VOLTAGE</t>
  </si>
  <si>
    <t>15-55</t>
  </si>
  <si>
    <t>USB-C BC 1.2 Compliance</t>
  </si>
  <si>
    <t>18-1</t>
  </si>
  <si>
    <t>SURESTART 2016: ENABLE TEST MODE</t>
  </si>
  <si>
    <t>18-2</t>
  </si>
  <si>
    <t>BIOS F10 SETTINGS FOR SURESTART 3 POLICY WITH AUTOMATION</t>
  </si>
  <si>
    <t>18-3</t>
  </si>
  <si>
    <t>SURESTART 3 TEST MODE ENABLE/DISABLE CHECKING</t>
  </si>
  <si>
    <t>18-4</t>
  </si>
  <si>
    <t>LEVEL2 DETECTION RO SMM – SURESTART 3 DETECTION AND PROTECTION RO SMM PAGE</t>
  </si>
  <si>
    <t>18-5</t>
  </si>
  <si>
    <t xml:space="preserve">LEVEL2 SMM HANDLER ATTEMPTS – SURESTART 3 MODIFY PAGE TO SMM RO PAGE </t>
  </si>
  <si>
    <t>18-10</t>
  </si>
  <si>
    <t>SURESTART3 COMMAND CHECKING – CHECKING SS3 COMMAND (NEGATIVE TESTING)</t>
  </si>
  <si>
    <t>18-11</t>
  </si>
  <si>
    <t>SureStart Policy Protection Manually Register Missing Protected Variables</t>
  </si>
  <si>
    <t>18-12</t>
  </si>
  <si>
    <t>SureStart Policy Protection and Recovery: Gray-out Protected Options in F10</t>
  </si>
  <si>
    <t>18-13</t>
  </si>
  <si>
    <t>SURESTART POLICY PROTECTION AND RECOVERY (MANUAL MODE)</t>
  </si>
  <si>
    <t>18-14</t>
  </si>
  <si>
    <t>SureStart Policy Protection and Recovery: New WMI Options and PPI to allow unlocking policies from WMI</t>
  </si>
  <si>
    <t>18-15</t>
  </si>
  <si>
    <t>SureStart Policy Protection and Recovery: Unlocking policies from F10</t>
  </si>
  <si>
    <t>18-17</t>
  </si>
  <si>
    <t>LEVEL1 EXECUTE/ DETECTION NX SMM – SURESTART 3 SMM TO EXECUTE/DETECT SMM NX AND RO PAGES</t>
  </si>
  <si>
    <t>18-18</t>
  </si>
  <si>
    <t>LEVEL1 SMM HANDLER ATTEMPTS – SURESTART 3 EXECUTE OR MODIFY PAGE TO SMM NX/RO PAGE</t>
  </si>
  <si>
    <t>18-22</t>
  </si>
  <si>
    <t>Only admin can initiate SS3 demo mode, NULL BIOS Admin Password is equivalent to Empty BIOS Admin password</t>
  </si>
  <si>
    <t>18-23</t>
  </si>
  <si>
    <t>MISC BIOS Test Mode Internal Use Only</t>
  </si>
  <si>
    <t>18-25</t>
  </si>
  <si>
    <t>Level1 Execute/ Detection NX SMM – SMM to execute/Detect SMM NX pages with SMM/DRTM Option  **( AMD system only)</t>
  </si>
  <si>
    <t>24-1</t>
  </si>
  <si>
    <t>Flash Master Settings – ME Flash Master Settings with MPM Lock</t>
  </si>
  <si>
    <t>24-2</t>
  </si>
  <si>
    <t>CSME Recovery – Shared Flash CSME Corruption and Recovery</t>
  </si>
  <si>
    <t>24-3</t>
  </si>
  <si>
    <t>CSME Recovery – PVT Flash CSME Corruption and Recovery</t>
  </si>
  <si>
    <t>24-4</t>
  </si>
  <si>
    <t>CSME RECOVERY – SHARED FLASH CSME CORRUPTION AND RECOVERY WITH TEST MODE</t>
  </si>
  <si>
    <t>24-5</t>
  </si>
  <si>
    <t>CSME RECOVERY – DIFFERENT BIOS AND ME VERSION CSME RECOVERY</t>
  </si>
  <si>
    <t>24-6</t>
  </si>
  <si>
    <t>CSME RECOVERY – CSME RECOVERY NEGATIVE TESTING</t>
  </si>
  <si>
    <t>24-7</t>
  </si>
  <si>
    <t>CSME RECOVERY – SHARED FLASH CSME CORRUPTION AND RECOVERY STRESS TESTING WITH TEST MODE</t>
  </si>
  <si>
    <t>24-8</t>
  </si>
  <si>
    <t>CSME RECOVERY - Core BIOS implementation for Intel ME recovery. Includes HMAC commands and EC logging Interfaces.</t>
  </si>
  <si>
    <t>24-9</t>
  </si>
  <si>
    <t>CSME RECOVERY - IMPLEMENT THE SMBIOS TYPE 11 ENTRY TO REPORT SURE START 5 ME RECOVERY SOLUTION</t>
  </si>
  <si>
    <t>24-10</t>
  </si>
  <si>
    <t>CSME RECOVERY – FULL ERASED SHARED FLASH AND RECOVERY</t>
  </si>
  <si>
    <t>25-1</t>
  </si>
  <si>
    <t>Desktop SIO/EC Compliance Testing</t>
  </si>
  <si>
    <t>27-1</t>
  </si>
  <si>
    <t xml:space="preserve">SMART FLASH – FACTORY SYSTEM BOOT TIME  </t>
  </si>
  <si>
    <t>27-2</t>
  </si>
  <si>
    <t>Smart Flash – Boot Block Recovery Time  with Different Corruption Size</t>
  </si>
  <si>
    <t>29-1</t>
  </si>
  <si>
    <t xml:space="preserve">EC RTID – EC/SIO Memory Corruption and recovery </t>
  </si>
  <si>
    <t>29-2</t>
  </si>
  <si>
    <t xml:space="preserve">AMD PSP Recovery - PSP Recovery Support Auditlog Checking </t>
  </si>
  <si>
    <t>29-3</t>
  </si>
  <si>
    <t xml:space="preserve">AMD PSP Recovery - PSP Recovery Testing for all PSP Area </t>
  </si>
  <si>
    <t>29-4</t>
  </si>
  <si>
    <t>AMD PSP Recovery – Full Erased Shared Flash and Recovery</t>
  </si>
  <si>
    <t>29-5</t>
  </si>
  <si>
    <t>AMD PSP Recovery - Stress Test PSP Recovery</t>
  </si>
  <si>
    <t>29-6</t>
  </si>
  <si>
    <t xml:space="preserve">AMD PSP Recovery - Power Failure Testing During Recovery  </t>
  </si>
  <si>
    <t>29-7</t>
  </si>
  <si>
    <t xml:space="preserve">HSA Register checking  - Confirm HSA Lock bit setting correctly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</si>
</sst>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50">
    <font>
      <sz val="11"/>
      <color theme="1"/>
      <name val="新細明體"/>
      <family val="2"/>
      <scheme val="minor"/>
    </font>
    <font>
      <sz val="10"/>
      <name val="Arial"/>
      <family val="2"/>
    </font>
    <font>
      <sz val="10"/>
      <color theme="1"/>
      <name val="Arial"/>
      <family val="2"/>
    </font>
    <font>
      <sz val="10"/>
      <color indexed="8"/>
      <name val="MS Sans Serif"/>
      <family val="2"/>
    </font>
    <font>
      <b/>
      <sz val="18"/>
      <color indexed="8"/>
      <name val="MS Sans Serif"/>
      <family val="2"/>
    </font>
    <font>
      <b/>
      <sz val="18"/>
      <color indexed="12"/>
      <name val="MS Sans Serif"/>
      <family val="2"/>
    </font>
    <font>
      <b/>
      <sz val="8"/>
      <color indexed="8"/>
      <name val="MS Sans Serif"/>
      <family val="2"/>
    </font>
    <font>
      <b/>
      <sz val="10"/>
      <color rgb="FF009A46"/>
      <name val="MS Sans Serif"/>
      <family val="2"/>
    </font>
    <font>
      <b/>
      <sz val="10"/>
      <color indexed="10"/>
      <name val="MS Sans Serif"/>
      <family val="2"/>
    </font>
    <font>
      <b/>
      <sz val="8"/>
      <name val="Arial"/>
      <family val="2"/>
    </font>
    <font>
      <b/>
      <sz val="10"/>
      <color theme="1"/>
      <name val="MS Sans Serif"/>
      <family val="2"/>
    </font>
    <font>
      <b/>
      <sz val="8"/>
      <color rgb="FF00B050"/>
      <name val="MS Sans Serif"/>
      <family val="2"/>
    </font>
    <font>
      <b/>
      <sz val="8"/>
      <color rgb="FFFF0000"/>
      <name val="MS Sans Serif"/>
      <family val="2"/>
    </font>
    <font>
      <b/>
      <sz val="8"/>
      <color rgb="FFFFC000"/>
      <name val="MS Sans Serif"/>
      <family val="2"/>
    </font>
    <font>
      <b/>
      <sz val="8"/>
      <color theme="4"/>
      <name val="MS Sans Serif"/>
      <family val="2"/>
    </font>
    <font>
      <b/>
      <sz val="8"/>
      <color theme="0" tint="-0.499984740745262"/>
      <name val="MS Sans Serif"/>
      <family val="2"/>
    </font>
    <font>
      <b/>
      <sz val="8"/>
      <color theme="9" tint="-0.499984740745262"/>
      <name val="MS Sans Serif"/>
      <family val="2"/>
    </font>
    <font>
      <b/>
      <sz val="8"/>
      <color theme="7"/>
      <name val="MS Sans Serif"/>
      <family val="2"/>
    </font>
    <font>
      <b/>
      <sz val="8"/>
      <color rgb="FF0070C0"/>
      <name val="MS Sans Serif"/>
      <family val="2"/>
    </font>
    <font>
      <b/>
      <sz val="8"/>
      <color rgb="FF7030A0"/>
      <name val="MS Sans Serif"/>
      <family val="2"/>
    </font>
    <font>
      <sz val="8"/>
      <color indexed="8"/>
      <name val="MS Sans Serif"/>
      <family val="2"/>
    </font>
    <font>
      <sz val="8"/>
      <color rgb="FF00B050"/>
      <name val="MS Sans Serif"/>
      <family val="2"/>
    </font>
    <font>
      <sz val="8"/>
      <color rgb="FFFF0000"/>
      <name val="MS Sans Serif"/>
      <family val="2"/>
    </font>
    <font>
      <sz val="8"/>
      <color rgb="FFFFC000"/>
      <name val="MS Sans Serif"/>
      <family val="2"/>
    </font>
    <font>
      <sz val="8"/>
      <color theme="4"/>
      <name val="MS Sans Serif"/>
      <family val="2"/>
    </font>
    <font>
      <sz val="8"/>
      <color theme="0" tint="-0.499984740745262"/>
      <name val="MS Sans Serif"/>
      <family val="2"/>
    </font>
    <font>
      <sz val="8"/>
      <color theme="9" tint="-0.499984740745262"/>
      <name val="MS Sans Serif"/>
      <family val="2"/>
    </font>
    <font>
      <sz val="8"/>
      <color rgb="FF7030A0"/>
      <name val="MS Sans Serif"/>
      <family val="2"/>
    </font>
    <font>
      <sz val="8"/>
      <color rgb="FF0070C0"/>
      <name val="MS Sans Serif"/>
      <family val="2"/>
    </font>
    <font>
      <b/>
      <sz val="22"/>
      <color theme="1"/>
      <name val="新細明體"/>
      <family val="2"/>
      <scheme val="minor"/>
    </font>
    <font>
      <sz val="22"/>
      <color theme="1"/>
      <name val="新細明體"/>
      <family val="2"/>
      <scheme val="minor"/>
    </font>
    <font>
      <i/>
      <sz val="11"/>
      <color rgb="FFFF0000"/>
      <name val="新細明體"/>
      <family val="2"/>
      <scheme val="minor"/>
    </font>
    <font>
      <b/>
      <sz val="36"/>
      <color theme="1"/>
      <name val="新細明體"/>
      <family val="2"/>
      <scheme val="minor"/>
    </font>
    <font>
      <sz val="20"/>
      <color theme="1"/>
      <name val="新細明體"/>
      <family val="2"/>
      <scheme val="minor"/>
    </font>
    <font>
      <sz val="11"/>
      <color theme="0" tint="-0.249977111117893"/>
      <name val="新細明體"/>
      <family val="2"/>
      <scheme val="minor"/>
    </font>
    <font>
      <b/>
      <sz val="14"/>
      <color rgb="FFFF0000"/>
      <name val="新細明體"/>
      <family val="2"/>
      <scheme val="minor"/>
    </font>
    <font>
      <b/>
      <sz val="11"/>
      <color rgb="FFFF0000"/>
      <name val="新細明體"/>
      <family val="2"/>
      <scheme val="minor"/>
    </font>
    <font>
      <b/>
      <sz val="14"/>
      <color theme="1"/>
      <name val="新細明體"/>
      <family val="2"/>
      <scheme val="minor"/>
    </font>
    <font>
      <sz val="9"/>
      <name val="新細明體"/>
      <family val="3"/>
      <charset val="136"/>
      <scheme val="minor"/>
    </font>
    <font>
      <sz val="9"/>
      <color indexed="81"/>
      <name val="宋体"/>
      <family val="3"/>
      <charset val="134"/>
    </font>
    <font>
      <b/>
      <sz val="9"/>
      <color indexed="81"/>
      <name val="宋体"/>
      <family val="3"/>
      <charset val="134"/>
    </font>
    <font>
      <sz val="11"/>
      <color theme="1"/>
      <name val="新細明體"/>
      <family val="1"/>
      <charset val="136"/>
      <scheme val="minor"/>
    </font>
    <font>
      <b/>
      <sz val="9"/>
      <color indexed="81"/>
      <name val="Tahoma"/>
      <family val="2"/>
    </font>
    <font>
      <b/>
      <sz val="9"/>
      <color indexed="81"/>
      <name val="宋体"/>
      <charset val="134"/>
    </font>
    <font>
      <sz val="9"/>
      <color indexed="81"/>
      <name val="宋体"/>
      <charset val="134"/>
    </font>
    <font>
      <b/>
      <sz val="10"/>
      <color indexed="81"/>
      <name val="新細明體"/>
      <family val="1"/>
      <charset val="136"/>
      <scheme val="minor"/>
    </font>
    <font>
      <sz val="11"/>
      <color rgb="FF0000FF"/>
      <name val="新細明體"/>
      <family val="2"/>
      <scheme val="minor"/>
    </font>
    <font>
      <sz val="11"/>
      <color rgb="FF0000FF"/>
      <name val="新細明體"/>
      <family val="1"/>
      <charset val="136"/>
      <scheme val="minor"/>
    </font>
    <font>
      <b/>
      <sz val="9"/>
      <color indexed="81"/>
      <name val="細明體"/>
      <family val="3"/>
      <charset val="136"/>
    </font>
    <font>
      <b/>
      <sz val="11"/>
      <color rgb="FF0000FF"/>
      <name val="新細明體"/>
      <family val="1"/>
      <charset val="136"/>
      <scheme val="minor"/>
    </font>
  </fonts>
  <fills count="7">
    <fill>
      <patternFill patternType="none"/>
    </fill>
    <fill>
      <patternFill patternType="gray125"/>
    </fill>
    <fill>
      <patternFill patternType="solid">
        <fgColor indexed="42"/>
        <bgColor indexed="64"/>
      </patternFill>
    </fill>
    <fill>
      <patternFill patternType="gray0625">
        <bgColor theme="0" tint="-0.14999847407452621"/>
      </patternFill>
    </fill>
    <fill>
      <patternFill patternType="solid">
        <fgColor theme="4" tint="0.79998168889431442"/>
        <bgColor indexed="64"/>
      </patternFill>
    </fill>
    <fill>
      <patternFill patternType="solid">
        <fgColor theme="0"/>
        <bgColor indexed="64"/>
      </patternFill>
    </fill>
    <fill>
      <patternFill patternType="solid">
        <fgColor rgb="FFCCFFFF"/>
        <bgColor indexed="64"/>
      </patternFill>
    </fill>
  </fills>
  <borders count="3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right style="thin">
        <color indexed="64"/>
      </right>
      <top/>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theme="0" tint="-0.34998626667073579"/>
      </bottom>
      <diagonal/>
    </border>
    <border>
      <left/>
      <right style="thin">
        <color indexed="64"/>
      </right>
      <top style="medium">
        <color indexed="64"/>
      </top>
      <bottom style="thin">
        <color theme="0" tint="-0.34998626667073579"/>
      </bottom>
      <diagonal/>
    </border>
    <border>
      <left style="thin">
        <color indexed="64"/>
      </left>
      <right style="medium">
        <color indexed="64"/>
      </right>
      <top style="medium">
        <color indexed="64"/>
      </top>
      <bottom style="thin">
        <color theme="0" tint="-0.34998626667073579"/>
      </bottom>
      <diagonal/>
    </border>
    <border>
      <left/>
      <right/>
      <top style="medium">
        <color indexed="64"/>
      </top>
      <bottom style="thin">
        <color theme="0" tint="-0.34998626667073579"/>
      </bottom>
      <diagonal/>
    </border>
    <border>
      <left style="medium">
        <color indexed="64"/>
      </left>
      <right style="thin">
        <color indexed="64"/>
      </right>
      <top style="medium">
        <color indexed="64"/>
      </top>
      <bottom style="thin">
        <color theme="0" tint="-0.34998626667073579"/>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theme="0" tint="-0.34998626667073579"/>
      </bottom>
      <diagonal/>
    </border>
    <border>
      <left style="thin">
        <color indexed="64"/>
      </left>
      <right style="thin">
        <color indexed="64"/>
      </right>
      <top/>
      <bottom style="thin">
        <color theme="0" tint="-0.34998626667073579"/>
      </bottom>
      <diagonal/>
    </border>
    <border>
      <left/>
      <right style="medium">
        <color indexed="64"/>
      </right>
      <top style="medium">
        <color indexed="64"/>
      </top>
      <bottom style="thin">
        <color theme="0" tint="-0.34998626667073579"/>
      </bottom>
      <diagonal/>
    </border>
    <border>
      <left style="medium">
        <color indexed="64"/>
      </left>
      <right style="medium">
        <color indexed="64"/>
      </right>
      <top style="medium">
        <color indexed="64"/>
      </top>
      <bottom style="thin">
        <color theme="0" tint="-0.34998626667073579"/>
      </bottom>
      <diagonal/>
    </border>
  </borders>
  <cellStyleXfs count="5">
    <xf numFmtId="0" fontId="0" fillId="0" borderId="0"/>
    <xf numFmtId="0" fontId="1" fillId="0" borderId="0"/>
    <xf numFmtId="0" fontId="2" fillId="0" borderId="0"/>
    <xf numFmtId="0" fontId="3" fillId="0" borderId="0"/>
    <xf numFmtId="0" fontId="2" fillId="0" borderId="0"/>
  </cellStyleXfs>
  <cellXfs count="107">
    <xf numFmtId="0" fontId="0" fillId="0" borderId="0" xfId="0"/>
    <xf numFmtId="0" fontId="6" fillId="2" borderId="7" xfId="3" applyFont="1" applyFill="1" applyBorder="1" applyAlignment="1">
      <alignment horizontal="center"/>
    </xf>
    <xf numFmtId="0" fontId="6" fillId="2" borderId="8" xfId="3" applyFont="1" applyFill="1" applyBorder="1" applyAlignment="1">
      <alignment horizontal="center" wrapText="1"/>
    </xf>
    <xf numFmtId="0" fontId="6" fillId="2" borderId="9" xfId="3" applyFont="1" applyFill="1" applyBorder="1" applyAlignment="1">
      <alignment horizontal="center" wrapText="1"/>
    </xf>
    <xf numFmtId="0" fontId="6" fillId="2" borderId="10" xfId="3" applyFont="1" applyFill="1" applyBorder="1" applyAlignment="1">
      <alignment horizontal="center" wrapText="1"/>
    </xf>
    <xf numFmtId="0" fontId="6" fillId="2" borderId="11" xfId="3" applyFont="1" applyFill="1" applyBorder="1" applyAlignment="1">
      <alignment horizontal="center" wrapText="1"/>
    </xf>
    <xf numFmtId="0" fontId="6" fillId="2" borderId="12" xfId="3" applyFont="1" applyFill="1" applyBorder="1" applyAlignment="1">
      <alignment horizontal="center" wrapText="1"/>
    </xf>
    <xf numFmtId="0" fontId="6" fillId="2" borderId="13" xfId="3" applyFont="1" applyFill="1" applyBorder="1" applyAlignment="1">
      <alignment horizontal="center" wrapText="1"/>
    </xf>
    <xf numFmtId="0" fontId="6" fillId="2" borderId="7" xfId="3" applyFont="1" applyFill="1" applyBorder="1" applyAlignment="1">
      <alignment horizontal="center" wrapText="1"/>
    </xf>
    <xf numFmtId="0" fontId="6" fillId="2" borderId="14" xfId="3" applyFont="1" applyFill="1" applyBorder="1" applyAlignment="1">
      <alignment horizontal="center" wrapText="1"/>
    </xf>
    <xf numFmtId="176" fontId="7" fillId="3" borderId="10" xfId="3" applyNumberFormat="1" applyFont="1" applyFill="1" applyBorder="1" applyAlignment="1">
      <alignment horizontal="right" indent="1"/>
    </xf>
    <xf numFmtId="176" fontId="8" fillId="3" borderId="10" xfId="3" applyNumberFormat="1" applyFont="1" applyFill="1" applyBorder="1" applyAlignment="1">
      <alignment horizontal="right" indent="1"/>
    </xf>
    <xf numFmtId="2" fontId="7" fillId="3" borderId="11" xfId="3" applyNumberFormat="1" applyFont="1" applyFill="1" applyBorder="1" applyAlignment="1">
      <alignment horizontal="right" indent="1"/>
    </xf>
    <xf numFmtId="2" fontId="8" fillId="3" borderId="11" xfId="3" applyNumberFormat="1" applyFont="1" applyFill="1" applyBorder="1" applyAlignment="1">
      <alignment horizontal="right" indent="1"/>
    </xf>
    <xf numFmtId="2" fontId="8" fillId="3" borderId="10" xfId="3" applyNumberFormat="1" applyFont="1" applyFill="1" applyBorder="1" applyAlignment="1">
      <alignment horizontal="right" indent="1"/>
    </xf>
    <xf numFmtId="2" fontId="8" fillId="3" borderId="15" xfId="3" applyNumberFormat="1" applyFont="1" applyFill="1" applyBorder="1" applyAlignment="1">
      <alignment horizontal="right" indent="1"/>
    </xf>
    <xf numFmtId="2" fontId="8" fillId="3" borderId="7" xfId="3" applyNumberFormat="1" applyFont="1" applyFill="1" applyBorder="1" applyAlignment="1">
      <alignment horizontal="right" indent="1"/>
    </xf>
    <xf numFmtId="176" fontId="7" fillId="3" borderId="11" xfId="3" applyNumberFormat="1" applyFont="1" applyFill="1" applyBorder="1" applyAlignment="1">
      <alignment horizontal="right" indent="1"/>
    </xf>
    <xf numFmtId="1" fontId="6" fillId="4" borderId="19" xfId="3" applyNumberFormat="1" applyFont="1" applyFill="1" applyBorder="1" applyAlignment="1">
      <alignment horizontal="center" vertical="center"/>
    </xf>
    <xf numFmtId="1" fontId="11" fillId="4" borderId="20" xfId="3" applyNumberFormat="1" applyFont="1" applyFill="1" applyBorder="1" applyAlignment="1">
      <alignment horizontal="center" vertical="center"/>
    </xf>
    <xf numFmtId="1" fontId="12" fillId="4" borderId="20" xfId="3" applyNumberFormat="1" applyFont="1" applyFill="1" applyBorder="1" applyAlignment="1">
      <alignment horizontal="center" vertical="center"/>
    </xf>
    <xf numFmtId="1" fontId="13" fillId="4" borderId="20" xfId="3" applyNumberFormat="1" applyFont="1" applyFill="1" applyBorder="1" applyAlignment="1">
      <alignment horizontal="center" vertical="center"/>
    </xf>
    <xf numFmtId="1" fontId="14" fillId="4" borderId="20" xfId="3" applyNumberFormat="1" applyFont="1" applyFill="1" applyBorder="1" applyAlignment="1">
      <alignment horizontal="center" vertical="center"/>
    </xf>
    <xf numFmtId="1" fontId="15" fillId="4" borderId="21" xfId="3" applyNumberFormat="1" applyFont="1" applyFill="1" applyBorder="1" applyAlignment="1">
      <alignment horizontal="center" vertical="center"/>
    </xf>
    <xf numFmtId="1" fontId="11" fillId="4" borderId="22" xfId="3" applyNumberFormat="1" applyFont="1" applyFill="1" applyBorder="1" applyAlignment="1">
      <alignment horizontal="center" vertical="center"/>
    </xf>
    <xf numFmtId="1" fontId="16" fillId="4" borderId="23" xfId="3" applyNumberFormat="1" applyFont="1" applyFill="1" applyBorder="1" applyAlignment="1">
      <alignment horizontal="center" vertical="center"/>
    </xf>
    <xf numFmtId="1" fontId="17" fillId="4" borderId="22" xfId="3" applyNumberFormat="1" applyFont="1" applyFill="1" applyBorder="1" applyAlignment="1">
      <alignment horizontal="center" vertical="center"/>
    </xf>
    <xf numFmtId="10" fontId="6" fillId="4" borderId="25" xfId="3" applyNumberFormat="1" applyFont="1" applyFill="1" applyBorder="1" applyAlignment="1">
      <alignment horizontal="center" vertical="center"/>
    </xf>
    <xf numFmtId="10" fontId="11" fillId="4" borderId="25" xfId="3" applyNumberFormat="1" applyFont="1" applyFill="1" applyBorder="1" applyAlignment="1">
      <alignment horizontal="center" vertical="center"/>
    </xf>
    <xf numFmtId="10" fontId="12" fillId="4" borderId="25" xfId="3" applyNumberFormat="1" applyFont="1" applyFill="1" applyBorder="1" applyAlignment="1">
      <alignment horizontal="center" vertical="center"/>
    </xf>
    <xf numFmtId="10" fontId="13" fillId="4" borderId="25" xfId="3" applyNumberFormat="1" applyFont="1" applyFill="1" applyBorder="1" applyAlignment="1">
      <alignment horizontal="center" vertical="center"/>
    </xf>
    <xf numFmtId="10" fontId="18" fillId="4" borderId="25" xfId="3" applyNumberFormat="1" applyFont="1" applyFill="1" applyBorder="1" applyAlignment="1">
      <alignment horizontal="center" vertical="center"/>
    </xf>
    <xf numFmtId="10" fontId="15" fillId="4" borderId="25" xfId="3" applyNumberFormat="1" applyFont="1" applyFill="1" applyBorder="1" applyAlignment="1">
      <alignment horizontal="center" vertical="center"/>
    </xf>
    <xf numFmtId="10" fontId="15" fillId="4" borderId="24" xfId="3" applyNumberFormat="1" applyFont="1" applyFill="1" applyBorder="1" applyAlignment="1">
      <alignment horizontal="center" vertical="center"/>
    </xf>
    <xf numFmtId="10" fontId="16" fillId="4" borderId="25" xfId="3" applyNumberFormat="1" applyFont="1" applyFill="1" applyBorder="1" applyAlignment="1">
      <alignment horizontal="center" vertical="center"/>
    </xf>
    <xf numFmtId="10" fontId="19" fillId="4" borderId="12" xfId="3" applyNumberFormat="1" applyFont="1" applyFill="1" applyBorder="1" applyAlignment="1">
      <alignment horizontal="center" vertical="center"/>
    </xf>
    <xf numFmtId="1" fontId="20" fillId="5" borderId="19" xfId="3" applyNumberFormat="1" applyFont="1" applyFill="1" applyBorder="1" applyAlignment="1">
      <alignment horizontal="center" vertical="center"/>
    </xf>
    <xf numFmtId="1" fontId="21" fillId="5" borderId="20" xfId="3" applyNumberFormat="1" applyFont="1" applyFill="1" applyBorder="1" applyAlignment="1">
      <alignment horizontal="center" vertical="center"/>
    </xf>
    <xf numFmtId="1" fontId="22" fillId="5" borderId="29" xfId="3" applyNumberFormat="1" applyFont="1" applyFill="1" applyBorder="1" applyAlignment="1">
      <alignment horizontal="center" vertical="center"/>
    </xf>
    <xf numFmtId="1" fontId="23" fillId="5" borderId="30" xfId="3" applyNumberFormat="1" applyFont="1" applyFill="1" applyBorder="1" applyAlignment="1">
      <alignment horizontal="center" vertical="center"/>
    </xf>
    <xf numFmtId="1" fontId="24" fillId="5" borderId="19" xfId="3" applyNumberFormat="1" applyFont="1" applyFill="1" applyBorder="1" applyAlignment="1">
      <alignment horizontal="center" vertical="center"/>
    </xf>
    <xf numFmtId="1" fontId="25" fillId="5" borderId="31" xfId="3" applyNumberFormat="1" applyFont="1" applyFill="1" applyBorder="1" applyAlignment="1">
      <alignment horizontal="center" vertical="center"/>
    </xf>
    <xf numFmtId="1" fontId="25" fillId="5" borderId="32" xfId="3" applyNumberFormat="1" applyFont="1" applyFill="1" applyBorder="1" applyAlignment="1">
      <alignment horizontal="center" vertical="center"/>
    </xf>
    <xf numFmtId="1" fontId="26" fillId="5" borderId="20" xfId="3" applyNumberFormat="1" applyFont="1" applyFill="1" applyBorder="1" applyAlignment="1">
      <alignment horizontal="center" vertical="center"/>
    </xf>
    <xf numFmtId="1" fontId="27" fillId="5" borderId="21" xfId="3" applyNumberFormat="1" applyFont="1" applyFill="1" applyBorder="1" applyAlignment="1">
      <alignment horizontal="center" vertical="center"/>
    </xf>
    <xf numFmtId="10" fontId="20" fillId="5" borderId="25" xfId="3" applyNumberFormat="1" applyFont="1" applyFill="1" applyBorder="1" applyAlignment="1">
      <alignment horizontal="center" vertical="center"/>
    </xf>
    <xf numFmtId="10" fontId="21" fillId="5" borderId="25" xfId="3" applyNumberFormat="1" applyFont="1" applyFill="1" applyBorder="1" applyAlignment="1">
      <alignment horizontal="center" vertical="center"/>
    </xf>
    <xf numFmtId="10" fontId="22" fillId="5" borderId="25" xfId="3" applyNumberFormat="1" applyFont="1" applyFill="1" applyBorder="1" applyAlignment="1">
      <alignment horizontal="center" vertical="center"/>
    </xf>
    <xf numFmtId="10" fontId="23" fillId="5" borderId="25" xfId="3" applyNumberFormat="1" applyFont="1" applyFill="1" applyBorder="1" applyAlignment="1">
      <alignment horizontal="center" vertical="center"/>
    </xf>
    <xf numFmtId="10" fontId="28" fillId="5" borderId="25" xfId="3" applyNumberFormat="1" applyFont="1" applyFill="1" applyBorder="1" applyAlignment="1">
      <alignment horizontal="center" vertical="center"/>
    </xf>
    <xf numFmtId="10" fontId="25" fillId="5" borderId="25" xfId="3" applyNumberFormat="1" applyFont="1" applyFill="1" applyBorder="1" applyAlignment="1">
      <alignment horizontal="center" vertical="center"/>
    </xf>
    <xf numFmtId="10" fontId="25" fillId="5" borderId="24" xfId="3" applyNumberFormat="1" applyFont="1" applyFill="1" applyBorder="1" applyAlignment="1">
      <alignment horizontal="center" vertical="center"/>
    </xf>
    <xf numFmtId="10" fontId="26" fillId="5" borderId="25" xfId="3" applyNumberFormat="1" applyFont="1" applyFill="1" applyBorder="1" applyAlignment="1">
      <alignment horizontal="center" vertical="center"/>
    </xf>
    <xf numFmtId="10" fontId="27" fillId="5" borderId="12" xfId="3" applyNumberFormat="1" applyFont="1" applyFill="1" applyBorder="1" applyAlignment="1">
      <alignment horizontal="center" vertical="center"/>
    </xf>
    <xf numFmtId="49" fontId="0" fillId="0" borderId="0" xfId="0" applyNumberFormat="1"/>
    <xf numFmtId="0" fontId="0" fillId="0" borderId="0" xfId="0" applyAlignment="1">
      <alignment horizontal="center"/>
    </xf>
    <xf numFmtId="0" fontId="0" fillId="0" borderId="0" xfId="0" applyAlignment="1">
      <alignment vertical="center"/>
    </xf>
    <xf numFmtId="49" fontId="0" fillId="0" borderId="0" xfId="0" applyNumberFormat="1" applyAlignment="1">
      <alignment horizontal="center"/>
    </xf>
    <xf numFmtId="49" fontId="34" fillId="0" borderId="0" xfId="0" applyNumberFormat="1" applyFont="1"/>
    <xf numFmtId="49" fontId="0" fillId="0" borderId="0" xfId="0" applyNumberFormat="1" applyAlignment="1">
      <alignment vertical="top"/>
    </xf>
    <xf numFmtId="14" fontId="0" fillId="0" borderId="0" xfId="0" applyNumberFormat="1" applyAlignment="1">
      <alignment vertical="top"/>
    </xf>
    <xf numFmtId="0" fontId="0" fillId="0" borderId="0" xfId="0" applyAlignment="1">
      <alignment vertical="top"/>
    </xf>
    <xf numFmtId="49" fontId="0" fillId="0" borderId="0" xfId="0" applyNumberFormat="1" applyAlignment="1">
      <alignment horizontal="left"/>
    </xf>
    <xf numFmtId="14" fontId="0" fillId="0" borderId="0" xfId="0" applyNumberFormat="1" applyAlignment="1">
      <alignment horizontal="center"/>
    </xf>
    <xf numFmtId="49" fontId="0" fillId="0" borderId="0" xfId="0" applyNumberFormat="1" applyAlignment="1">
      <alignment horizontal="left" vertical="top"/>
    </xf>
    <xf numFmtId="14" fontId="0" fillId="0" borderId="0" xfId="0" applyNumberFormat="1" applyAlignment="1">
      <alignment horizontal="center" vertical="top"/>
    </xf>
    <xf numFmtId="0" fontId="0" fillId="0" borderId="0" xfId="0" applyAlignment="1">
      <alignment horizontal="center" vertical="top"/>
    </xf>
    <xf numFmtId="49" fontId="36" fillId="0" borderId="0" xfId="0" applyNumberFormat="1" applyFont="1" applyAlignment="1">
      <alignment horizontal="right"/>
    </xf>
    <xf numFmtId="49" fontId="37" fillId="0" borderId="0" xfId="0" applyNumberFormat="1" applyFont="1" applyAlignment="1">
      <alignment horizontal="center"/>
    </xf>
    <xf numFmtId="0" fontId="37" fillId="0" borderId="0" xfId="0" applyFont="1" applyAlignment="1">
      <alignment horizontal="center"/>
    </xf>
    <xf numFmtId="0" fontId="37" fillId="0" borderId="0" xfId="0" applyFont="1"/>
    <xf numFmtId="49" fontId="0" fillId="6" borderId="0" xfId="0" applyNumberFormat="1" applyFill="1"/>
    <xf numFmtId="49" fontId="0" fillId="5" borderId="0" xfId="0" applyNumberFormat="1" applyFill="1"/>
    <xf numFmtId="49" fontId="41" fillId="0" borderId="0" xfId="0" applyNumberFormat="1" applyFont="1"/>
    <xf numFmtId="49" fontId="46" fillId="0" borderId="0" xfId="0" applyNumberFormat="1" applyFont="1"/>
    <xf numFmtId="49" fontId="47" fillId="0" borderId="0" xfId="0" applyNumberFormat="1" applyFont="1"/>
    <xf numFmtId="49" fontId="49" fillId="0" borderId="0" xfId="0" applyNumberFormat="1" applyFont="1"/>
    <xf numFmtId="49" fontId="41" fillId="6" borderId="0" xfId="0" applyNumberFormat="1" applyFont="1" applyFill="1"/>
    <xf numFmtId="0" fontId="33" fillId="0" borderId="0" xfId="0" applyFont="1" applyAlignment="1">
      <alignment horizontal="center"/>
    </xf>
    <xf numFmtId="0" fontId="0" fillId="0" borderId="0" xfId="0" applyAlignment="1">
      <alignment horizontal="center"/>
    </xf>
    <xf numFmtId="0" fontId="0" fillId="0" borderId="0" xfId="0" applyAlignment="1">
      <alignment horizontal="left"/>
    </xf>
    <xf numFmtId="0" fontId="0" fillId="0" borderId="0" xfId="0" applyAlignment="1">
      <alignment horizontal="left" wrapText="1"/>
    </xf>
    <xf numFmtId="0" fontId="32" fillId="0" borderId="0" xfId="0" applyFont="1" applyAlignment="1">
      <alignment horizontal="center" vertical="center"/>
    </xf>
    <xf numFmtId="0" fontId="29" fillId="0" borderId="0" xfId="0" applyFont="1" applyAlignment="1">
      <alignment horizontal="right" vertical="center"/>
    </xf>
    <xf numFmtId="0" fontId="30" fillId="0" borderId="0" xfId="0" applyFont="1" applyAlignment="1">
      <alignment horizontal="left" vertical="center"/>
    </xf>
    <xf numFmtId="0" fontId="35" fillId="0" borderId="0" xfId="0" applyFont="1" applyAlignment="1">
      <alignment horizontal="left" vertical="center" wrapText="1"/>
    </xf>
    <xf numFmtId="0" fontId="30" fillId="0" borderId="0" xfId="0" applyFont="1" applyAlignment="1">
      <alignment horizontal="center" vertical="center"/>
    </xf>
    <xf numFmtId="0" fontId="29" fillId="0" borderId="0" xfId="0" applyFont="1" applyAlignment="1">
      <alignment horizontal="right"/>
    </xf>
    <xf numFmtId="0" fontId="31" fillId="0" borderId="0" xfId="0" applyFont="1" applyAlignment="1">
      <alignment horizontal="right"/>
    </xf>
    <xf numFmtId="0" fontId="4" fillId="0" borderId="1" xfId="3" applyFont="1" applyBorder="1" applyAlignment="1">
      <alignment horizontal="center" wrapText="1"/>
    </xf>
    <xf numFmtId="0" fontId="4" fillId="0" borderId="2" xfId="3" applyFont="1" applyBorder="1" applyAlignment="1">
      <alignment horizontal="center"/>
    </xf>
    <xf numFmtId="0" fontId="4" fillId="0" borderId="3" xfId="3" applyFont="1" applyBorder="1" applyAlignment="1">
      <alignment horizontal="center"/>
    </xf>
    <xf numFmtId="0" fontId="5" fillId="0" borderId="4" xfId="3" applyFont="1" applyBorder="1" applyAlignment="1">
      <alignment horizontal="center" wrapText="1"/>
    </xf>
    <xf numFmtId="0" fontId="5" fillId="0" borderId="5" xfId="3" applyFont="1" applyBorder="1" applyAlignment="1">
      <alignment horizontal="center" wrapText="1"/>
    </xf>
    <xf numFmtId="0" fontId="5" fillId="0" borderId="6" xfId="3" applyFont="1" applyBorder="1" applyAlignment="1">
      <alignment horizontal="center" wrapText="1"/>
    </xf>
    <xf numFmtId="0" fontId="9" fillId="4" borderId="16" xfId="4" applyFont="1" applyFill="1" applyBorder="1" applyAlignment="1">
      <alignment horizontal="center" vertical="center"/>
    </xf>
    <xf numFmtId="0" fontId="9" fillId="4" borderId="24" xfId="4" applyFont="1" applyFill="1" applyBorder="1" applyAlignment="1">
      <alignment horizontal="center" vertical="center"/>
    </xf>
    <xf numFmtId="1" fontId="10" fillId="4" borderId="17" xfId="3" applyNumberFormat="1" applyFont="1" applyFill="1" applyBorder="1" applyAlignment="1">
      <alignment horizontal="center" vertical="center"/>
    </xf>
    <xf numFmtId="1" fontId="10" fillId="4" borderId="8" xfId="3" applyNumberFormat="1" applyFont="1" applyFill="1" applyBorder="1" applyAlignment="1">
      <alignment horizontal="center" vertical="center"/>
    </xf>
    <xf numFmtId="1" fontId="10" fillId="4" borderId="18" xfId="3" applyNumberFormat="1" applyFont="1" applyFill="1" applyBorder="1" applyAlignment="1">
      <alignment horizontal="center" vertical="center"/>
    </xf>
    <xf numFmtId="1" fontId="10" fillId="4" borderId="9" xfId="3" applyNumberFormat="1" applyFont="1" applyFill="1" applyBorder="1" applyAlignment="1">
      <alignment horizontal="center" vertical="center"/>
    </xf>
    <xf numFmtId="0" fontId="9" fillId="5" borderId="26" xfId="4" applyFont="1" applyFill="1" applyBorder="1" applyAlignment="1">
      <alignment horizontal="center" vertical="center"/>
    </xf>
    <xf numFmtId="0" fontId="9" fillId="5" borderId="12" xfId="4" applyFont="1" applyFill="1" applyBorder="1" applyAlignment="1">
      <alignment horizontal="center" vertical="center"/>
    </xf>
    <xf numFmtId="1" fontId="10" fillId="5" borderId="27" xfId="3" applyNumberFormat="1" applyFont="1" applyFill="1" applyBorder="1" applyAlignment="1">
      <alignment horizontal="center" vertical="center"/>
    </xf>
    <xf numFmtId="1" fontId="10" fillId="5" borderId="8" xfId="3" applyNumberFormat="1" applyFont="1" applyFill="1" applyBorder="1" applyAlignment="1">
      <alignment horizontal="center" vertical="center"/>
    </xf>
    <xf numFmtId="1" fontId="10" fillId="5" borderId="28" xfId="3" applyNumberFormat="1" applyFont="1" applyFill="1" applyBorder="1" applyAlignment="1">
      <alignment horizontal="center" vertical="center"/>
    </xf>
    <xf numFmtId="1" fontId="10" fillId="5" borderId="9" xfId="3" applyNumberFormat="1" applyFont="1" applyFill="1" applyBorder="1" applyAlignment="1">
      <alignment horizontal="center" vertical="center"/>
    </xf>
  </cellXfs>
  <cellStyles count="5">
    <cellStyle name="Normal 10" xfId="1" xr:uid="{00000000-0005-0000-0000-000000000000}"/>
    <cellStyle name="Normal 2" xfId="3" xr:uid="{00000000-0005-0000-0000-000001000000}"/>
    <cellStyle name="Normal 4 3" xfId="4" xr:uid="{00000000-0005-0000-0000-000002000000}"/>
    <cellStyle name="一般" xfId="0" builtinId="0"/>
    <cellStyle name="常规 3" xfId="2" xr:uid="{00000000-0005-0000-0000-000004000000}"/>
  </cellStyles>
  <dxfs count="195">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s>
  <tableStyles count="0" defaultTableStyle="TableStyleMedium9" defaultPivotStyle="PivotStyleLight16"/>
  <colors>
    <mruColors>
      <color rgb="FF0000FF"/>
      <color rgb="FFCCFFFF"/>
      <color rgb="FFCCFFCC"/>
      <color rgb="FF99FFCC"/>
      <color rgb="FF66FFCC"/>
      <color rgb="FF00FF99"/>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50-EC42-11CE-9E0D-00AA006002F3}"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8BD21D50-EC42-11CE-9E0D-00AA006002F3}" r:id="rId1"/>
</file>

<file path=xl/activeX/activeX4.xml><?xml version="1.0" encoding="utf-8"?>
<ax:ocx xmlns:ax="http://schemas.microsoft.com/office/2006/activeX" xmlns:r="http://schemas.openxmlformats.org/officeDocument/2006/relationships" ax:classid="{8BD21D50-EC42-11CE-9E0D-00AA006002F3}" r:id="rId1"/>
</file>

<file path=xl/activeX/activeX5.xml><?xml version="1.0" encoding="utf-8"?>
<ax:ocx xmlns:ax="http://schemas.microsoft.com/office/2006/activeX" xmlns:r="http://schemas.openxmlformats.org/officeDocument/2006/relationships" ax:classid="{8BD21D50-EC42-11CE-9E0D-00AA006002F3}" r:id="rId1"/>
</file>

<file path=xl/activeX/activeX6.xml><?xml version="1.0" encoding="utf-8"?>
<ax:ocx xmlns:ax="http://schemas.microsoft.com/office/2006/activeX" xmlns:r="http://schemas.openxmlformats.org/officeDocument/2006/relationships" ax:classid="{8BD21D50-EC42-11CE-9E0D-00AA006002F3}"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8BD21D10-EC42-11CE-9E0D-00AA006002F3}" r:id="rId1"/>
</file>

<file path=xl/activeX/activeX9.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 Id="rId9"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190500</xdr:colOff>
          <xdr:row>16</xdr:row>
          <xdr:rowOff>171450</xdr:rowOff>
        </xdr:from>
        <xdr:to>
          <xdr:col>15</xdr:col>
          <xdr:colOff>0</xdr:colOff>
          <xdr:row>18</xdr:row>
          <xdr:rowOff>171450</xdr:rowOff>
        </xdr:to>
        <xdr:sp macro="" textlink="">
          <xdr:nvSpPr>
            <xdr:cNvPr id="4098" name="CCreate"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20</xdr:row>
          <xdr:rowOff>19050</xdr:rowOff>
        </xdr:from>
        <xdr:to>
          <xdr:col>9</xdr:col>
          <xdr:colOff>47625</xdr:colOff>
          <xdr:row>21</xdr:row>
          <xdr:rowOff>171450</xdr:rowOff>
        </xdr:to>
        <xdr:sp macro="" textlink="">
          <xdr:nvSpPr>
            <xdr:cNvPr id="4099" name="NotebookBut"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20</xdr:row>
          <xdr:rowOff>28575</xdr:rowOff>
        </xdr:from>
        <xdr:to>
          <xdr:col>10</xdr:col>
          <xdr:colOff>552450</xdr:colOff>
          <xdr:row>21</xdr:row>
          <xdr:rowOff>142875</xdr:rowOff>
        </xdr:to>
        <xdr:sp macro="" textlink="">
          <xdr:nvSpPr>
            <xdr:cNvPr id="4101" name="DesktopBut"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21</xdr:row>
          <xdr:rowOff>161925</xdr:rowOff>
        </xdr:from>
        <xdr:to>
          <xdr:col>8</xdr:col>
          <xdr:colOff>476250</xdr:colOff>
          <xdr:row>23</xdr:row>
          <xdr:rowOff>142875</xdr:rowOff>
        </xdr:to>
        <xdr:sp macro="" textlink="">
          <xdr:nvSpPr>
            <xdr:cNvPr id="4102" name="FunctionalBut"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22</xdr:row>
          <xdr:rowOff>19050</xdr:rowOff>
        </xdr:from>
        <xdr:to>
          <xdr:col>10</xdr:col>
          <xdr:colOff>285750</xdr:colOff>
          <xdr:row>23</xdr:row>
          <xdr:rowOff>114300</xdr:rowOff>
        </xdr:to>
        <xdr:sp macro="" textlink="">
          <xdr:nvSpPr>
            <xdr:cNvPr id="4103" name="IntegrationBut"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19</xdr:row>
          <xdr:rowOff>104775</xdr:rowOff>
        </xdr:from>
        <xdr:to>
          <xdr:col>15</xdr:col>
          <xdr:colOff>9525</xdr:colOff>
          <xdr:row>21</xdr:row>
          <xdr:rowOff>76200</xdr:rowOff>
        </xdr:to>
        <xdr:sp macro="" textlink="">
          <xdr:nvSpPr>
            <xdr:cNvPr id="4104" name="Recovery"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18</xdr:row>
          <xdr:rowOff>57150</xdr:rowOff>
        </xdr:from>
        <xdr:to>
          <xdr:col>11</xdr:col>
          <xdr:colOff>200025</xdr:colOff>
          <xdr:row>19</xdr:row>
          <xdr:rowOff>161925</xdr:rowOff>
        </xdr:to>
        <xdr:sp macro="" textlink="">
          <xdr:nvSpPr>
            <xdr:cNvPr id="4105" name="FileName"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161925</xdr:colOff>
          <xdr:row>22</xdr:row>
          <xdr:rowOff>66675</xdr:rowOff>
        </xdr:from>
        <xdr:to>
          <xdr:col>15</xdr:col>
          <xdr:colOff>9525</xdr:colOff>
          <xdr:row>24</xdr:row>
          <xdr:rowOff>57150</xdr:rowOff>
        </xdr:to>
        <xdr:sp macro="" textlink="">
          <xdr:nvSpPr>
            <xdr:cNvPr id="4106" name="CreateSummary"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22</xdr:row>
          <xdr:rowOff>19050</xdr:rowOff>
        </xdr:from>
        <xdr:to>
          <xdr:col>11</xdr:col>
          <xdr:colOff>552450</xdr:colOff>
          <xdr:row>23</xdr:row>
          <xdr:rowOff>95250</xdr:rowOff>
        </xdr:to>
        <xdr:sp macro="" textlink="">
          <xdr:nvSpPr>
            <xdr:cNvPr id="4108" name="DBCheckListBut" hidden="1">
              <a:extLst>
                <a:ext uri="{63B3BB69-23CF-44E3-9099-C40C66FF867C}">
                  <a14:compatExt spid="_x0000_s4108"/>
                </a:ext>
                <a:ext uri="{FF2B5EF4-FFF2-40B4-BE49-F238E27FC236}">
                  <a16:creationId xmlns:a16="http://schemas.microsoft.com/office/drawing/2014/main" id="{00000000-0008-0000-01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val-host\EVAL-HOST\Documents%20and%20Settings\DALEMILLER\Local%20Settings\Temporary%20Internet%20Files\OLK45\Backup\DT_Sample_Ful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REVISIONS"/>
      <sheetName val="Test Summary"/>
      <sheetName val="PCB CFG"/>
      <sheetName val="PCB Details"/>
      <sheetName val="133 Mhz FACTS"/>
      <sheetName val="MG"/>
      <sheetName val="SERVER STRESS"/>
      <sheetName val="IDE &amp; SCSI"/>
      <sheetName val="GMCH GRAPHICS"/>
      <sheetName val="AGP GRAPHICS"/>
      <sheetName val="ADD_Multi-Monitor"/>
      <sheetName val="MEMORY"/>
      <sheetName val="OS INSTALL-HCT"/>
      <sheetName val="PERIPHERAL"/>
      <sheetName val="ACPI-WOL"/>
      <sheetName val="WOL"/>
      <sheetName val="LED-SECURITY"/>
      <sheetName val="3rd PARTY CARDS"/>
      <sheetName val="THERMAL"/>
      <sheetName val="Configuration"/>
      <sheetName val="Issue list "/>
      <sheetName val="Summary"/>
      <sheetName val="Health Chart"/>
      <sheetName val="ODM reports_DT"/>
      <sheetName val="數據有效性"/>
      <sheetName val="配置罗列"/>
      <sheetName val="HW Matrix"/>
      <sheetName val="Product Data Entry"/>
      <sheetName val="DT_Sample_Full"/>
      <sheetName val="liste"/>
      <sheetName val="Graphi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15" Type="http://schemas.openxmlformats.org/officeDocument/2006/relationships/image" Target="../media/image6.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9" Type="http://schemas.openxmlformats.org/officeDocument/2006/relationships/image" Target="../media/image3.emf"/><Relationship Id="rId14" Type="http://schemas.openxmlformats.org/officeDocument/2006/relationships/control" Target="../activeX/activeX6.xml"/><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9"/>
  <dimension ref="A1:I46"/>
  <sheetViews>
    <sheetView workbookViewId="0">
      <selection activeCell="N8" sqref="N8"/>
    </sheetView>
  </sheetViews>
  <sheetFormatPr defaultRowHeight="15.75"/>
  <cols>
    <col min="1" max="1" width="8.85546875" style="54"/>
    <col min="2" max="2" width="10.5703125" bestFit="1" customWidth="1"/>
  </cols>
  <sheetData>
    <row r="1" spans="1:9" ht="27.75">
      <c r="A1" s="78" t="s">
        <v>0</v>
      </c>
      <c r="B1" s="78"/>
      <c r="C1" s="78"/>
      <c r="D1" s="78"/>
      <c r="E1" s="78"/>
      <c r="F1" s="78"/>
      <c r="G1" s="78"/>
      <c r="H1" s="78"/>
      <c r="I1" s="78"/>
    </row>
    <row r="2" spans="1:9">
      <c r="A2" s="57" t="s">
        <v>1</v>
      </c>
      <c r="B2" s="55" t="s">
        <v>2</v>
      </c>
      <c r="C2" s="55" t="s">
        <v>3</v>
      </c>
      <c r="D2" s="79" t="s">
        <v>4</v>
      </c>
      <c r="E2" s="79"/>
      <c r="F2" s="79"/>
      <c r="G2" s="79"/>
      <c r="H2" s="79"/>
      <c r="I2" s="79"/>
    </row>
    <row r="3" spans="1:9">
      <c r="A3" s="62" t="s">
        <v>5</v>
      </c>
      <c r="B3" s="63">
        <v>45107</v>
      </c>
      <c r="C3" s="55" t="s">
        <v>6</v>
      </c>
      <c r="D3" s="80" t="s">
        <v>7</v>
      </c>
      <c r="E3" s="80"/>
      <c r="F3" s="80"/>
      <c r="G3" s="80"/>
      <c r="H3" s="80"/>
      <c r="I3" s="80"/>
    </row>
    <row r="4" spans="1:9">
      <c r="A4" s="62" t="s">
        <v>8</v>
      </c>
      <c r="B4" s="63">
        <v>44778</v>
      </c>
      <c r="C4" s="55" t="s">
        <v>6</v>
      </c>
      <c r="D4" s="80" t="s">
        <v>9</v>
      </c>
      <c r="E4" s="80"/>
      <c r="F4" s="80"/>
      <c r="G4" s="80"/>
      <c r="H4" s="80"/>
      <c r="I4" s="80"/>
    </row>
    <row r="5" spans="1:9">
      <c r="A5" s="62" t="s">
        <v>10</v>
      </c>
      <c r="B5" s="63">
        <v>44461</v>
      </c>
      <c r="C5" s="55" t="s">
        <v>6</v>
      </c>
      <c r="D5" s="80" t="s">
        <v>11</v>
      </c>
      <c r="E5" s="80"/>
      <c r="F5" s="80"/>
      <c r="G5" s="80"/>
      <c r="H5" s="80"/>
      <c r="I5" s="80"/>
    </row>
    <row r="6" spans="1:9">
      <c r="A6" s="62" t="s">
        <v>12</v>
      </c>
      <c r="B6" s="63">
        <v>44137</v>
      </c>
      <c r="C6" s="55" t="s">
        <v>6</v>
      </c>
      <c r="D6" s="80" t="s">
        <v>13</v>
      </c>
      <c r="E6" s="80"/>
      <c r="F6" s="80"/>
      <c r="G6" s="80"/>
      <c r="H6" s="80"/>
      <c r="I6" s="80"/>
    </row>
    <row r="7" spans="1:9">
      <c r="A7" s="62" t="s">
        <v>14</v>
      </c>
      <c r="B7" s="63">
        <v>44125</v>
      </c>
      <c r="C7" s="55" t="s">
        <v>6</v>
      </c>
      <c r="D7" s="80" t="s">
        <v>15</v>
      </c>
      <c r="E7" s="80"/>
      <c r="F7" s="80"/>
      <c r="G7" s="80"/>
      <c r="H7" s="80"/>
      <c r="I7" s="80"/>
    </row>
    <row r="8" spans="1:9">
      <c r="A8" s="62" t="s">
        <v>16</v>
      </c>
      <c r="B8" s="63">
        <v>44120</v>
      </c>
      <c r="C8" s="55" t="s">
        <v>6</v>
      </c>
      <c r="D8" s="80" t="s">
        <v>17</v>
      </c>
      <c r="E8" s="80"/>
      <c r="F8" s="80"/>
      <c r="G8" s="80"/>
      <c r="H8" s="80"/>
      <c r="I8" s="80"/>
    </row>
    <row r="9" spans="1:9" ht="27" customHeight="1">
      <c r="A9" s="64" t="s">
        <v>18</v>
      </c>
      <c r="B9" s="65">
        <v>43920</v>
      </c>
      <c r="C9" s="66" t="s">
        <v>6</v>
      </c>
      <c r="D9" s="81" t="s">
        <v>19</v>
      </c>
      <c r="E9" s="80"/>
      <c r="F9" s="80"/>
      <c r="G9" s="80"/>
      <c r="H9" s="80"/>
      <c r="I9" s="80"/>
    </row>
    <row r="10" spans="1:9">
      <c r="A10" s="62" t="s">
        <v>20</v>
      </c>
      <c r="B10" s="63">
        <v>43906</v>
      </c>
      <c r="C10" s="55" t="s">
        <v>6</v>
      </c>
      <c r="D10" s="80" t="s">
        <v>21</v>
      </c>
      <c r="E10" s="80"/>
      <c r="F10" s="80"/>
      <c r="G10" s="80"/>
      <c r="H10" s="80"/>
      <c r="I10" s="80"/>
    </row>
    <row r="11" spans="1:9">
      <c r="A11" s="62" t="s">
        <v>22</v>
      </c>
      <c r="B11" s="63">
        <v>43888</v>
      </c>
      <c r="C11" s="55" t="s">
        <v>6</v>
      </c>
      <c r="D11" s="80" t="s">
        <v>23</v>
      </c>
      <c r="E11" s="80"/>
      <c r="F11" s="80"/>
      <c r="G11" s="80"/>
      <c r="H11" s="80"/>
      <c r="I11" s="80"/>
    </row>
    <row r="12" spans="1:9">
      <c r="A12" s="62" t="s">
        <v>24</v>
      </c>
      <c r="B12" s="63">
        <v>43864</v>
      </c>
      <c r="C12" s="55" t="s">
        <v>6</v>
      </c>
      <c r="D12" s="80" t="s">
        <v>25</v>
      </c>
      <c r="E12" s="80"/>
      <c r="F12" s="80"/>
      <c r="G12" s="80"/>
      <c r="H12" s="80"/>
      <c r="I12" s="80"/>
    </row>
    <row r="13" spans="1:9" ht="31.9" customHeight="1">
      <c r="A13" s="59" t="s">
        <v>26</v>
      </c>
      <c r="B13" s="60">
        <v>43811</v>
      </c>
      <c r="C13" s="61" t="s">
        <v>6</v>
      </c>
      <c r="D13" s="81" t="s">
        <v>27</v>
      </c>
      <c r="E13" s="80"/>
      <c r="F13" s="80"/>
      <c r="G13" s="80"/>
      <c r="H13" s="80"/>
      <c r="I13" s="80"/>
    </row>
    <row r="14" spans="1:9">
      <c r="A14" s="59" t="s">
        <v>28</v>
      </c>
      <c r="B14" s="60">
        <v>43811</v>
      </c>
      <c r="C14" s="61" t="s">
        <v>6</v>
      </c>
      <c r="D14" s="80" t="s">
        <v>29</v>
      </c>
      <c r="E14" s="80"/>
      <c r="F14" s="80"/>
      <c r="G14" s="80"/>
      <c r="H14" s="80"/>
      <c r="I14" s="80"/>
    </row>
    <row r="15" spans="1:9">
      <c r="A15" s="59"/>
      <c r="B15" s="61"/>
      <c r="C15" s="61"/>
    </row>
    <row r="16" spans="1:9">
      <c r="A16" s="59"/>
      <c r="B16" s="61"/>
      <c r="C16" s="61"/>
    </row>
    <row r="17" spans="1:3">
      <c r="A17" s="59"/>
      <c r="B17" s="61"/>
      <c r="C17" s="61"/>
    </row>
    <row r="18" spans="1:3">
      <c r="A18" s="59"/>
      <c r="B18" s="61"/>
      <c r="C18" s="61"/>
    </row>
    <row r="19" spans="1:3">
      <c r="A19" s="59"/>
      <c r="B19" s="61"/>
      <c r="C19" s="61"/>
    </row>
    <row r="20" spans="1:3">
      <c r="A20" s="59"/>
      <c r="B20" s="61"/>
      <c r="C20" s="61"/>
    </row>
    <row r="21" spans="1:3">
      <c r="A21" s="59"/>
      <c r="B21" s="61"/>
      <c r="C21" s="61"/>
    </row>
    <row r="22" spans="1:3">
      <c r="A22" s="59"/>
      <c r="B22" s="61"/>
      <c r="C22" s="61"/>
    </row>
    <row r="23" spans="1:3">
      <c r="A23" s="59"/>
      <c r="B23" s="61"/>
      <c r="C23" s="61"/>
    </row>
    <row r="24" spans="1:3">
      <c r="A24" s="59"/>
      <c r="B24" s="61"/>
      <c r="C24" s="61"/>
    </row>
    <row r="25" spans="1:3">
      <c r="A25" s="59"/>
      <c r="B25" s="61"/>
      <c r="C25" s="61"/>
    </row>
    <row r="26" spans="1:3">
      <c r="A26" s="59"/>
      <c r="B26" s="61"/>
      <c r="C26" s="61"/>
    </row>
    <row r="27" spans="1:3">
      <c r="A27" s="59"/>
      <c r="B27" s="61"/>
      <c r="C27" s="61"/>
    </row>
    <row r="28" spans="1:3">
      <c r="A28" s="59"/>
      <c r="B28" s="61"/>
      <c r="C28" s="61"/>
    </row>
    <row r="29" spans="1:3">
      <c r="A29" s="59"/>
      <c r="B29" s="61"/>
      <c r="C29" s="61"/>
    </row>
    <row r="30" spans="1:3">
      <c r="A30" s="59"/>
      <c r="B30" s="61"/>
      <c r="C30" s="61"/>
    </row>
    <row r="31" spans="1:3">
      <c r="A31" s="59"/>
      <c r="B31" s="61"/>
      <c r="C31" s="61"/>
    </row>
    <row r="32" spans="1:3">
      <c r="A32" s="59"/>
      <c r="B32" s="61"/>
      <c r="C32" s="61"/>
    </row>
    <row r="33" spans="1:3">
      <c r="A33" s="59"/>
      <c r="B33" s="61"/>
      <c r="C33" s="61"/>
    </row>
    <row r="34" spans="1:3">
      <c r="A34" s="59"/>
      <c r="B34" s="61"/>
      <c r="C34" s="61"/>
    </row>
    <row r="35" spans="1:3">
      <c r="A35" s="59"/>
      <c r="B35" s="61"/>
      <c r="C35" s="61"/>
    </row>
    <row r="36" spans="1:3">
      <c r="A36" s="59"/>
      <c r="B36" s="61"/>
      <c r="C36" s="61"/>
    </row>
    <row r="37" spans="1:3">
      <c r="A37" s="59"/>
      <c r="B37" s="61"/>
      <c r="C37" s="61"/>
    </row>
    <row r="38" spans="1:3">
      <c r="A38" s="59"/>
      <c r="B38" s="61"/>
      <c r="C38" s="61"/>
    </row>
    <row r="39" spans="1:3">
      <c r="A39" s="59"/>
      <c r="B39" s="61"/>
      <c r="C39" s="61"/>
    </row>
    <row r="40" spans="1:3">
      <c r="A40" s="59"/>
      <c r="B40" s="61"/>
      <c r="C40" s="61"/>
    </row>
    <row r="41" spans="1:3">
      <c r="A41" s="59"/>
      <c r="B41" s="61"/>
      <c r="C41" s="61"/>
    </row>
    <row r="42" spans="1:3">
      <c r="A42" s="59"/>
      <c r="B42" s="61"/>
      <c r="C42" s="61"/>
    </row>
    <row r="43" spans="1:3">
      <c r="A43" s="59"/>
      <c r="B43" s="61"/>
      <c r="C43" s="61"/>
    </row>
    <row r="44" spans="1:3">
      <c r="A44" s="59"/>
      <c r="B44" s="61"/>
      <c r="C44" s="61"/>
    </row>
    <row r="45" spans="1:3">
      <c r="A45" s="59"/>
      <c r="B45" s="61"/>
      <c r="C45" s="61"/>
    </row>
    <row r="46" spans="1:3">
      <c r="A46" s="59"/>
      <c r="B46" s="61"/>
      <c r="C46" s="61"/>
    </row>
  </sheetData>
  <mergeCells count="14">
    <mergeCell ref="A1:I1"/>
    <mergeCell ref="D2:I2"/>
    <mergeCell ref="D14:I14"/>
    <mergeCell ref="D13:I13"/>
    <mergeCell ref="D12:I12"/>
    <mergeCell ref="D11:I11"/>
    <mergeCell ref="D10:I10"/>
    <mergeCell ref="D9:I9"/>
    <mergeCell ref="D8:I8"/>
    <mergeCell ref="D7:I7"/>
    <mergeCell ref="D6:I6"/>
    <mergeCell ref="D5:I5"/>
    <mergeCell ref="D4:I4"/>
    <mergeCell ref="D3:I3"/>
  </mergeCells>
  <phoneticPr fontId="38"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S27"/>
  <sheetViews>
    <sheetView topLeftCell="A4" workbookViewId="0">
      <selection activeCell="L32" sqref="L32"/>
    </sheetView>
  </sheetViews>
  <sheetFormatPr defaultRowHeight="15.75"/>
  <cols>
    <col min="1" max="1" width="8.85546875" customWidth="1"/>
    <col min="3" max="3" width="8.28515625" customWidth="1"/>
    <col min="4" max="4" width="10.42578125" customWidth="1"/>
    <col min="10" max="10" width="9.42578125" customWidth="1"/>
    <col min="19" max="19" width="25.140625" customWidth="1"/>
  </cols>
  <sheetData>
    <row r="1" spans="1:19" ht="14.45" customHeight="1">
      <c r="A1" s="82" t="s">
        <v>30</v>
      </c>
      <c r="B1" s="82"/>
      <c r="C1" s="82"/>
      <c r="D1" s="82"/>
      <c r="E1" s="82"/>
      <c r="F1" s="82"/>
      <c r="G1" s="82"/>
      <c r="H1" s="82"/>
      <c r="I1" s="82"/>
      <c r="J1" s="82"/>
      <c r="K1" s="82"/>
      <c r="L1" s="82"/>
      <c r="M1" s="82"/>
      <c r="N1" s="82"/>
      <c r="O1" s="82"/>
      <c r="P1" s="82"/>
      <c r="Q1" s="82"/>
      <c r="R1" s="82"/>
      <c r="S1" s="82"/>
    </row>
    <row r="2" spans="1:19" ht="14.45" customHeight="1">
      <c r="A2" s="82"/>
      <c r="B2" s="82"/>
      <c r="C2" s="82"/>
      <c r="D2" s="82"/>
      <c r="E2" s="82"/>
      <c r="F2" s="82"/>
      <c r="G2" s="82"/>
      <c r="H2" s="82"/>
      <c r="I2" s="82"/>
      <c r="J2" s="82"/>
      <c r="K2" s="82"/>
      <c r="L2" s="82"/>
      <c r="M2" s="82"/>
      <c r="N2" s="82"/>
      <c r="O2" s="82"/>
      <c r="P2" s="82"/>
      <c r="Q2" s="82"/>
      <c r="R2" s="82"/>
      <c r="S2" s="82"/>
    </row>
    <row r="3" spans="1:19" ht="14.45" customHeight="1">
      <c r="A3" s="82"/>
      <c r="B3" s="82"/>
      <c r="C3" s="82"/>
      <c r="D3" s="82"/>
      <c r="E3" s="82"/>
      <c r="F3" s="82"/>
      <c r="G3" s="82"/>
      <c r="H3" s="82"/>
      <c r="I3" s="82"/>
      <c r="J3" s="82"/>
      <c r="K3" s="82"/>
      <c r="L3" s="82"/>
      <c r="M3" s="82"/>
      <c r="N3" s="82"/>
      <c r="O3" s="82"/>
      <c r="P3" s="82"/>
      <c r="Q3" s="82"/>
      <c r="R3" s="82"/>
      <c r="S3" s="82"/>
    </row>
    <row r="4" spans="1:19" ht="14.45" customHeight="1">
      <c r="A4" s="82" t="s">
        <v>31</v>
      </c>
      <c r="B4" s="82"/>
      <c r="C4" s="82"/>
      <c r="D4" s="82"/>
      <c r="E4" s="82"/>
      <c r="F4" s="82"/>
      <c r="G4" s="82"/>
      <c r="H4" s="82"/>
      <c r="I4" s="82"/>
      <c r="J4" s="82"/>
      <c r="K4" s="82"/>
      <c r="L4" s="82"/>
      <c r="M4" s="82"/>
      <c r="N4" s="82"/>
      <c r="O4" s="82"/>
      <c r="P4" s="82"/>
      <c r="Q4" s="82"/>
      <c r="R4" s="82"/>
      <c r="S4" s="82"/>
    </row>
    <row r="5" spans="1:19" ht="14.45" customHeight="1">
      <c r="A5" s="82"/>
      <c r="B5" s="82"/>
      <c r="C5" s="82"/>
      <c r="D5" s="82"/>
      <c r="E5" s="82"/>
      <c r="F5" s="82"/>
      <c r="G5" s="82"/>
      <c r="H5" s="82"/>
      <c r="I5" s="82"/>
      <c r="J5" s="82"/>
      <c r="K5" s="82"/>
      <c r="L5" s="82"/>
      <c r="M5" s="82"/>
      <c r="N5" s="82"/>
      <c r="O5" s="82"/>
      <c r="P5" s="82"/>
      <c r="Q5" s="82"/>
      <c r="R5" s="82"/>
      <c r="S5" s="82"/>
    </row>
    <row r="6" spans="1:19" ht="14.45" customHeight="1">
      <c r="A6" s="82"/>
      <c r="B6" s="82"/>
      <c r="C6" s="82"/>
      <c r="D6" s="82"/>
      <c r="E6" s="82"/>
      <c r="F6" s="82"/>
      <c r="G6" s="82"/>
      <c r="H6" s="82"/>
      <c r="I6" s="82"/>
      <c r="J6" s="82"/>
      <c r="K6" s="82"/>
      <c r="L6" s="82"/>
      <c r="M6" s="82"/>
      <c r="N6" s="82"/>
      <c r="O6" s="82"/>
      <c r="P6" s="82"/>
      <c r="Q6" s="82"/>
      <c r="R6" s="82"/>
      <c r="S6" s="82"/>
    </row>
    <row r="7" spans="1:19">
      <c r="A7" s="82"/>
      <c r="B7" s="82"/>
      <c r="C7" s="82"/>
      <c r="D7" s="82"/>
      <c r="E7" s="82"/>
      <c r="F7" s="82"/>
      <c r="G7" s="82"/>
      <c r="H7" s="82"/>
      <c r="I7" s="82"/>
      <c r="J7" s="82"/>
      <c r="K7" s="82"/>
      <c r="L7" s="82"/>
      <c r="M7" s="82"/>
      <c r="N7" s="82"/>
      <c r="O7" s="82"/>
      <c r="P7" s="82"/>
      <c r="Q7" s="82"/>
      <c r="R7" s="82"/>
      <c r="S7" s="82"/>
    </row>
    <row r="8" spans="1:19">
      <c r="O8" s="54" t="str">
        <f xml:space="preserve"> ChangeLog!A3</f>
        <v>V4.00</v>
      </c>
    </row>
    <row r="11" spans="1:19" ht="14.45" customHeight="1">
      <c r="A11" s="56"/>
      <c r="B11" s="56"/>
      <c r="C11" s="56"/>
      <c r="D11" s="83" t="s">
        <v>32</v>
      </c>
      <c r="E11" s="83"/>
      <c r="F11" s="83"/>
      <c r="G11" s="83"/>
      <c r="H11" s="84" t="s">
        <v>33</v>
      </c>
      <c r="I11" s="84"/>
      <c r="J11" s="84"/>
      <c r="Q11" s="85" t="s">
        <v>34</v>
      </c>
      <c r="R11" s="85"/>
      <c r="S11" s="85"/>
    </row>
    <row r="12" spans="1:19" ht="14.45" customHeight="1">
      <c r="A12" s="56"/>
      <c r="B12" s="56"/>
      <c r="C12" s="56"/>
      <c r="D12" s="83"/>
      <c r="E12" s="83"/>
      <c r="F12" s="83"/>
      <c r="G12" s="83"/>
      <c r="H12" s="84"/>
      <c r="I12" s="84"/>
      <c r="J12" s="84"/>
      <c r="Q12" s="85"/>
      <c r="R12" s="85"/>
      <c r="S12" s="85"/>
    </row>
    <row r="13" spans="1:19" ht="14.45" customHeight="1">
      <c r="D13" s="83" t="s">
        <v>35</v>
      </c>
      <c r="E13" s="83"/>
      <c r="F13" s="83"/>
      <c r="G13" s="83"/>
      <c r="H13" s="84" t="s">
        <v>36</v>
      </c>
      <c r="I13" s="84"/>
      <c r="J13" s="84"/>
      <c r="Q13" s="85"/>
      <c r="R13" s="85"/>
      <c r="S13" s="85"/>
    </row>
    <row r="14" spans="1:19" ht="14.45" customHeight="1">
      <c r="A14" s="56"/>
      <c r="B14" s="56"/>
      <c r="C14" s="56"/>
      <c r="D14" s="83"/>
      <c r="E14" s="83"/>
      <c r="F14" s="83"/>
      <c r="G14" s="83"/>
      <c r="H14" s="84"/>
      <c r="I14" s="84"/>
      <c r="J14" s="84"/>
      <c r="Q14" s="85"/>
      <c r="R14" s="85"/>
      <c r="S14" s="85"/>
    </row>
    <row r="15" spans="1:19" ht="14.45" customHeight="1">
      <c r="A15" s="56"/>
      <c r="B15" s="56"/>
      <c r="C15" s="56"/>
      <c r="D15" s="83" t="s">
        <v>37</v>
      </c>
      <c r="E15" s="83"/>
      <c r="F15" s="83"/>
      <c r="G15" s="83"/>
      <c r="H15" s="86" t="s">
        <v>38</v>
      </c>
      <c r="I15" s="86"/>
      <c r="J15" s="86"/>
      <c r="K15" s="86"/>
      <c r="L15" s="86"/>
      <c r="M15" s="86"/>
      <c r="Q15" s="85"/>
      <c r="R15" s="85"/>
      <c r="S15" s="85"/>
    </row>
    <row r="16" spans="1:19" ht="14.45" customHeight="1">
      <c r="D16" s="83"/>
      <c r="E16" s="83"/>
      <c r="F16" s="83"/>
      <c r="G16" s="83"/>
      <c r="H16" s="86"/>
      <c r="I16" s="86"/>
      <c r="J16" s="86"/>
      <c r="K16" s="86"/>
      <c r="L16" s="86"/>
      <c r="M16" s="86"/>
      <c r="Q16" s="85"/>
      <c r="R16" s="85"/>
      <c r="S16" s="85"/>
    </row>
    <row r="17" spans="1:19" ht="14.45" customHeight="1">
      <c r="A17" s="56"/>
      <c r="B17" s="56"/>
      <c r="C17" s="56"/>
      <c r="D17" s="56"/>
      <c r="Q17" s="85"/>
      <c r="R17" s="85"/>
      <c r="S17" s="85"/>
    </row>
    <row r="18" spans="1:19" ht="14.45" customHeight="1">
      <c r="A18" s="56"/>
      <c r="B18" s="56"/>
      <c r="C18" s="56"/>
      <c r="D18" s="56"/>
      <c r="E18" s="88" t="s">
        <v>39</v>
      </c>
      <c r="F18" s="88"/>
      <c r="G18" s="88"/>
      <c r="Q18" s="85"/>
      <c r="R18" s="85"/>
      <c r="S18" s="85"/>
    </row>
    <row r="19" spans="1:19" ht="14.45" customHeight="1">
      <c r="D19" s="83" t="s">
        <v>40</v>
      </c>
      <c r="E19" s="83"/>
      <c r="F19" s="83"/>
      <c r="G19" s="83"/>
      <c r="H19" s="79"/>
      <c r="I19" s="79"/>
      <c r="J19" s="79"/>
      <c r="K19" s="79"/>
      <c r="L19" s="79"/>
      <c r="Q19" s="85"/>
      <c r="R19" s="85"/>
      <c r="S19" s="85"/>
    </row>
    <row r="20" spans="1:19" ht="14.45" customHeight="1">
      <c r="D20" s="83"/>
      <c r="E20" s="83"/>
      <c r="F20" s="83"/>
      <c r="G20" s="83"/>
      <c r="H20" s="79"/>
      <c r="I20" s="79"/>
      <c r="J20" s="79"/>
      <c r="K20" s="79"/>
      <c r="L20" s="79"/>
      <c r="Q20" s="85"/>
      <c r="R20" s="85"/>
      <c r="S20" s="85"/>
    </row>
    <row r="21" spans="1:19" ht="14.45" customHeight="1">
      <c r="D21" s="83" t="s">
        <v>41</v>
      </c>
      <c r="E21" s="83"/>
      <c r="F21" s="83"/>
      <c r="G21" s="83"/>
      <c r="H21" s="79"/>
      <c r="I21" s="79"/>
      <c r="J21" s="79"/>
      <c r="K21" s="79"/>
      <c r="L21" s="79"/>
      <c r="Q21" s="85"/>
      <c r="R21" s="85"/>
      <c r="S21" s="85"/>
    </row>
    <row r="22" spans="1:19" ht="14.45" customHeight="1">
      <c r="D22" s="83"/>
      <c r="E22" s="83"/>
      <c r="F22" s="83"/>
      <c r="G22" s="83"/>
      <c r="H22" s="79"/>
      <c r="I22" s="79"/>
      <c r="J22" s="79"/>
      <c r="K22" s="79"/>
      <c r="L22" s="79"/>
      <c r="Q22" s="85"/>
      <c r="R22" s="85"/>
      <c r="S22" s="85"/>
    </row>
    <row r="23" spans="1:19" ht="14.45" customHeight="1">
      <c r="D23" s="87" t="s">
        <v>42</v>
      </c>
      <c r="E23" s="87"/>
      <c r="F23" s="87"/>
      <c r="G23" s="87"/>
      <c r="H23" s="79"/>
      <c r="I23" s="79"/>
      <c r="J23" s="79"/>
      <c r="K23" s="79"/>
      <c r="L23" s="79"/>
      <c r="Q23" s="85"/>
      <c r="R23" s="85"/>
      <c r="S23" s="85"/>
    </row>
    <row r="24" spans="1:19" ht="14.45" customHeight="1">
      <c r="D24" s="87"/>
      <c r="E24" s="87"/>
      <c r="F24" s="87"/>
      <c r="G24" s="87"/>
      <c r="H24" s="79"/>
      <c r="I24" s="79"/>
      <c r="J24" s="79"/>
      <c r="K24" s="79"/>
      <c r="L24" s="79"/>
      <c r="Q24" s="85"/>
      <c r="R24" s="85"/>
      <c r="S24" s="85"/>
    </row>
    <row r="25" spans="1:19">
      <c r="Q25" s="85"/>
      <c r="R25" s="85"/>
      <c r="S25" s="85"/>
    </row>
    <row r="26" spans="1:19">
      <c r="Q26" s="85"/>
      <c r="R26" s="85"/>
      <c r="S26" s="85"/>
    </row>
    <row r="27" spans="1:19">
      <c r="Q27" s="85"/>
      <c r="R27" s="85"/>
      <c r="S27" s="85"/>
    </row>
  </sheetData>
  <mergeCells count="16">
    <mergeCell ref="A1:S3"/>
    <mergeCell ref="A4:S7"/>
    <mergeCell ref="D11:G12"/>
    <mergeCell ref="H11:J12"/>
    <mergeCell ref="D13:G14"/>
    <mergeCell ref="H13:J14"/>
    <mergeCell ref="Q11:S27"/>
    <mergeCell ref="H15:M16"/>
    <mergeCell ref="H19:L20"/>
    <mergeCell ref="H21:L22"/>
    <mergeCell ref="H23:L24"/>
    <mergeCell ref="D15:G16"/>
    <mergeCell ref="D19:G20"/>
    <mergeCell ref="D21:G22"/>
    <mergeCell ref="D23:G24"/>
    <mergeCell ref="E18:G18"/>
  </mergeCells>
  <phoneticPr fontId="38"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098" r:id="rId6" name="CCreate">
          <controlPr defaultSize="0" autoLine="0" r:id="rId7">
            <anchor moveWithCells="1">
              <from>
                <xdr:col>13</xdr:col>
                <xdr:colOff>190500</xdr:colOff>
                <xdr:row>16</xdr:row>
                <xdr:rowOff>171450</xdr:rowOff>
              </from>
              <to>
                <xdr:col>15</xdr:col>
                <xdr:colOff>0</xdr:colOff>
                <xdr:row>18</xdr:row>
                <xdr:rowOff>171450</xdr:rowOff>
              </to>
            </anchor>
          </controlPr>
        </control>
      </mc:Choice>
      <mc:Fallback>
        <control shapeId="4098" r:id="rId6" name="CCreate"/>
      </mc:Fallback>
    </mc:AlternateContent>
    <mc:AlternateContent xmlns:mc="http://schemas.openxmlformats.org/markup-compatibility/2006">
      <mc:Choice Requires="x14">
        <control shapeId="4099" r:id="rId8" name="NotebookBut">
          <controlPr defaultSize="0" autoLine="0" r:id="rId9">
            <anchor moveWithCells="1">
              <from>
                <xdr:col>7</xdr:col>
                <xdr:colOff>152400</xdr:colOff>
                <xdr:row>20</xdr:row>
                <xdr:rowOff>19050</xdr:rowOff>
              </from>
              <to>
                <xdr:col>9</xdr:col>
                <xdr:colOff>47625</xdr:colOff>
                <xdr:row>21</xdr:row>
                <xdr:rowOff>171450</xdr:rowOff>
              </to>
            </anchor>
          </controlPr>
        </control>
      </mc:Choice>
      <mc:Fallback>
        <control shapeId="4099" r:id="rId8" name="NotebookBut"/>
      </mc:Fallback>
    </mc:AlternateContent>
    <mc:AlternateContent xmlns:mc="http://schemas.openxmlformats.org/markup-compatibility/2006">
      <mc:Choice Requires="x14">
        <control shapeId="4101" r:id="rId10" name="DesktopBut">
          <controlPr defaultSize="0" autoLine="0" r:id="rId11">
            <anchor moveWithCells="1">
              <from>
                <xdr:col>9</xdr:col>
                <xdr:colOff>76200</xdr:colOff>
                <xdr:row>20</xdr:row>
                <xdr:rowOff>28575</xdr:rowOff>
              </from>
              <to>
                <xdr:col>10</xdr:col>
                <xdr:colOff>552450</xdr:colOff>
                <xdr:row>21</xdr:row>
                <xdr:rowOff>142875</xdr:rowOff>
              </to>
            </anchor>
          </controlPr>
        </control>
      </mc:Choice>
      <mc:Fallback>
        <control shapeId="4101" r:id="rId10" name="DesktopBut"/>
      </mc:Fallback>
    </mc:AlternateContent>
    <mc:AlternateContent xmlns:mc="http://schemas.openxmlformats.org/markup-compatibility/2006">
      <mc:Choice Requires="x14">
        <control shapeId="4102" r:id="rId12" name="FunctionalBut">
          <controlPr defaultSize="0" autoLine="0" r:id="rId13">
            <anchor moveWithCells="1">
              <from>
                <xdr:col>7</xdr:col>
                <xdr:colOff>171450</xdr:colOff>
                <xdr:row>21</xdr:row>
                <xdr:rowOff>161925</xdr:rowOff>
              </from>
              <to>
                <xdr:col>8</xdr:col>
                <xdr:colOff>476250</xdr:colOff>
                <xdr:row>23</xdr:row>
                <xdr:rowOff>142875</xdr:rowOff>
              </to>
            </anchor>
          </controlPr>
        </control>
      </mc:Choice>
      <mc:Fallback>
        <control shapeId="4102" r:id="rId12" name="FunctionalBut"/>
      </mc:Fallback>
    </mc:AlternateContent>
    <mc:AlternateContent xmlns:mc="http://schemas.openxmlformats.org/markup-compatibility/2006">
      <mc:Choice Requires="x14">
        <control shapeId="4103" r:id="rId14" name="IntegrationBut">
          <controlPr defaultSize="0" autoLine="0" r:id="rId15">
            <anchor moveWithCells="1">
              <from>
                <xdr:col>8</xdr:col>
                <xdr:colOff>457200</xdr:colOff>
                <xdr:row>22</xdr:row>
                <xdr:rowOff>19050</xdr:rowOff>
              </from>
              <to>
                <xdr:col>10</xdr:col>
                <xdr:colOff>285750</xdr:colOff>
                <xdr:row>23</xdr:row>
                <xdr:rowOff>114300</xdr:rowOff>
              </to>
            </anchor>
          </controlPr>
        </control>
      </mc:Choice>
      <mc:Fallback>
        <control shapeId="4103" r:id="rId14" name="IntegrationBut"/>
      </mc:Fallback>
    </mc:AlternateContent>
    <mc:AlternateContent xmlns:mc="http://schemas.openxmlformats.org/markup-compatibility/2006">
      <mc:Choice Requires="x14">
        <control shapeId="4104" r:id="rId16" name="Recovery">
          <controlPr defaultSize="0" autoLine="0" r:id="rId17">
            <anchor moveWithCells="1">
              <from>
                <xdr:col>13</xdr:col>
                <xdr:colOff>180975</xdr:colOff>
                <xdr:row>19</xdr:row>
                <xdr:rowOff>104775</xdr:rowOff>
              </from>
              <to>
                <xdr:col>15</xdr:col>
                <xdr:colOff>9525</xdr:colOff>
                <xdr:row>21</xdr:row>
                <xdr:rowOff>76200</xdr:rowOff>
              </to>
            </anchor>
          </controlPr>
        </control>
      </mc:Choice>
      <mc:Fallback>
        <control shapeId="4104" r:id="rId16" name="Recovery"/>
      </mc:Fallback>
    </mc:AlternateContent>
    <mc:AlternateContent xmlns:mc="http://schemas.openxmlformats.org/markup-compatibility/2006">
      <mc:Choice Requires="x14">
        <control shapeId="4105" r:id="rId18" name="FileName">
          <controlPr defaultSize="0" autoLine="0" r:id="rId19">
            <anchor moveWithCells="1">
              <from>
                <xdr:col>7</xdr:col>
                <xdr:colOff>104775</xdr:colOff>
                <xdr:row>18</xdr:row>
                <xdr:rowOff>57150</xdr:rowOff>
              </from>
              <to>
                <xdr:col>11</xdr:col>
                <xdr:colOff>200025</xdr:colOff>
                <xdr:row>19</xdr:row>
                <xdr:rowOff>161925</xdr:rowOff>
              </to>
            </anchor>
          </controlPr>
        </control>
      </mc:Choice>
      <mc:Fallback>
        <control shapeId="4105" r:id="rId18" name="FileName"/>
      </mc:Fallback>
    </mc:AlternateContent>
    <mc:AlternateContent xmlns:mc="http://schemas.openxmlformats.org/markup-compatibility/2006">
      <mc:Choice Requires="x14">
        <control shapeId="4106" r:id="rId20" name="CreateSummary">
          <controlPr defaultSize="0" autoLine="0" r:id="rId21">
            <anchor moveWithCells="1">
              <from>
                <xdr:col>13</xdr:col>
                <xdr:colOff>161925</xdr:colOff>
                <xdr:row>22</xdr:row>
                <xdr:rowOff>66675</xdr:rowOff>
              </from>
              <to>
                <xdr:col>15</xdr:col>
                <xdr:colOff>9525</xdr:colOff>
                <xdr:row>24</xdr:row>
                <xdr:rowOff>57150</xdr:rowOff>
              </to>
            </anchor>
          </controlPr>
        </control>
      </mc:Choice>
      <mc:Fallback>
        <control shapeId="4106" r:id="rId20" name="CreateSummary"/>
      </mc:Fallback>
    </mc:AlternateContent>
    <mc:AlternateContent xmlns:mc="http://schemas.openxmlformats.org/markup-compatibility/2006">
      <mc:Choice Requires="x14">
        <control shapeId="4108" r:id="rId4" name="DBCheckListBut">
          <controlPr defaultSize="0" autoLine="0" r:id="rId5">
            <anchor moveWithCells="1">
              <from>
                <xdr:col>10</xdr:col>
                <xdr:colOff>171450</xdr:colOff>
                <xdr:row>22</xdr:row>
                <xdr:rowOff>19050</xdr:rowOff>
              </from>
              <to>
                <xdr:col>11</xdr:col>
                <xdr:colOff>552450</xdr:colOff>
                <xdr:row>23</xdr:row>
                <xdr:rowOff>95250</xdr:rowOff>
              </to>
            </anchor>
          </controlPr>
        </control>
      </mc:Choice>
      <mc:Fallback>
        <control shapeId="4108" r:id="rId4" name="DBCheckListBu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S10"/>
  <sheetViews>
    <sheetView workbookViewId="0">
      <selection activeCell="F7" sqref="F7"/>
    </sheetView>
  </sheetViews>
  <sheetFormatPr defaultRowHeight="15.75"/>
  <cols>
    <col min="1" max="1" width="15.28515625" bestFit="1" customWidth="1"/>
    <col min="4" max="4" width="8.28515625" bestFit="1" customWidth="1"/>
    <col min="5" max="5" width="8.7109375" bestFit="1" customWidth="1"/>
    <col min="6" max="6" width="6.85546875" bestFit="1" customWidth="1"/>
    <col min="9" max="9" width="7.28515625" bestFit="1" customWidth="1"/>
    <col min="10" max="10" width="8.28515625" bestFit="1" customWidth="1"/>
    <col min="11" max="11" width="1.85546875" bestFit="1" customWidth="1"/>
    <col min="12" max="12" width="7.28515625" bestFit="1" customWidth="1"/>
    <col min="13" max="13" width="9" bestFit="1" customWidth="1"/>
  </cols>
  <sheetData>
    <row r="1" spans="1:19" ht="23.25">
      <c r="A1" s="89" t="s">
        <v>43</v>
      </c>
      <c r="B1" s="90"/>
      <c r="C1" s="90"/>
      <c r="D1" s="90"/>
      <c r="E1" s="90"/>
      <c r="F1" s="90"/>
      <c r="G1" s="90"/>
      <c r="H1" s="90"/>
      <c r="I1" s="90"/>
      <c r="J1" s="90"/>
      <c r="K1" s="90"/>
      <c r="L1" s="90"/>
      <c r="M1" s="91"/>
    </row>
    <row r="2" spans="1:19" ht="24" thickBot="1">
      <c r="A2" s="92" t="s">
        <v>44</v>
      </c>
      <c r="B2" s="93"/>
      <c r="C2" s="93"/>
      <c r="D2" s="93"/>
      <c r="E2" s="93"/>
      <c r="F2" s="93"/>
      <c r="G2" s="93"/>
      <c r="H2" s="93"/>
      <c r="I2" s="93"/>
      <c r="J2" s="93"/>
      <c r="K2" s="93"/>
      <c r="L2" s="93"/>
      <c r="M2" s="94"/>
    </row>
    <row r="3" spans="1:19" ht="44.25" thickBot="1">
      <c r="A3" s="1" t="s">
        <v>45</v>
      </c>
      <c r="B3" s="2" t="s">
        <v>46</v>
      </c>
      <c r="C3" s="3" t="s">
        <v>47</v>
      </c>
      <c r="D3" s="4" t="s">
        <v>48</v>
      </c>
      <c r="E3" s="5" t="s">
        <v>49</v>
      </c>
      <c r="F3" s="3" t="s">
        <v>50</v>
      </c>
      <c r="G3" s="3" t="s">
        <v>51</v>
      </c>
      <c r="H3" s="6" t="s">
        <v>52</v>
      </c>
      <c r="I3" s="7" t="s">
        <v>53</v>
      </c>
      <c r="J3" s="8" t="s">
        <v>54</v>
      </c>
      <c r="K3" s="8"/>
      <c r="L3" s="9" t="s">
        <v>55</v>
      </c>
      <c r="M3" s="6" t="s">
        <v>56</v>
      </c>
    </row>
    <row r="4" spans="1:19" ht="16.5" thickBot="1">
      <c r="A4" s="10"/>
      <c r="B4" s="10"/>
      <c r="C4" s="10"/>
      <c r="D4" s="11"/>
      <c r="E4" s="10"/>
      <c r="F4" s="12"/>
      <c r="G4" s="13"/>
      <c r="H4" s="14"/>
      <c r="I4" s="15"/>
      <c r="J4" s="16"/>
      <c r="K4" s="16"/>
      <c r="L4" s="17"/>
      <c r="M4" s="10"/>
      <c r="S4" s="58" t="s">
        <v>57</v>
      </c>
    </row>
    <row r="5" spans="1:19">
      <c r="A5" s="95" t="s">
        <v>58</v>
      </c>
      <c r="B5" s="97">
        <f>SUM(B7:B13)</f>
        <v>0</v>
      </c>
      <c r="C5" s="99" t="e">
        <f>SUM(C7:C12)</f>
        <v>#REF!</v>
      </c>
      <c r="D5" s="99" t="e">
        <f>SUM(D7:D12)</f>
        <v>#REF!</v>
      </c>
      <c r="E5" s="18" t="e">
        <f>C5-D5</f>
        <v>#REF!</v>
      </c>
      <c r="F5" s="19" t="e">
        <f>F7+F9+F11</f>
        <v>#REF!</v>
      </c>
      <c r="G5" s="20" t="e">
        <f t="shared" ref="G5:M5" si="0">G7+G9+G11</f>
        <v>#REF!</v>
      </c>
      <c r="H5" s="21">
        <f t="shared" si="0"/>
        <v>0</v>
      </c>
      <c r="I5" s="22" t="e">
        <f t="shared" si="0"/>
        <v>#REF!</v>
      </c>
      <c r="J5" s="23" t="e">
        <f t="shared" si="0"/>
        <v>#REF!</v>
      </c>
      <c r="K5" s="24">
        <f t="shared" si="0"/>
        <v>0</v>
      </c>
      <c r="L5" s="25" t="e">
        <f t="shared" si="0"/>
        <v>#REF!</v>
      </c>
      <c r="M5" s="26" t="e">
        <f t="shared" si="0"/>
        <v>#REF!</v>
      </c>
      <c r="S5" s="58" t="s">
        <v>59</v>
      </c>
    </row>
    <row r="6" spans="1:19" ht="16.5" thickBot="1">
      <c r="A6" s="96"/>
      <c r="B6" s="98"/>
      <c r="C6" s="100"/>
      <c r="D6" s="100"/>
      <c r="E6" s="27" t="e">
        <f>IF(C$5&gt;0,E5/C$5,0)</f>
        <v>#REF!</v>
      </c>
      <c r="F6" s="28" t="e">
        <f>IF($C5&gt;0,F5/$C5,0)</f>
        <v>#REF!</v>
      </c>
      <c r="G6" s="29" t="e">
        <f>IF($C5&gt;0,G5/$C5,0)</f>
        <v>#REF!</v>
      </c>
      <c r="H6" s="30" t="e">
        <f>IF($C5&gt;0,H5/$C5,0)</f>
        <v>#REF!</v>
      </c>
      <c r="I6" s="31" t="e">
        <f>IF($C5&gt;0,I5/$C5,0)</f>
        <v>#REF!</v>
      </c>
      <c r="J6" s="32">
        <f>IF($B5&gt;0,J5/$B5,0)</f>
        <v>0</v>
      </c>
      <c r="K6" s="33"/>
      <c r="L6" s="34">
        <f>IF($B5&gt;0,L5/$B5,0)</f>
        <v>0</v>
      </c>
      <c r="M6" s="35">
        <f>IF($B5&gt;0,M5/$B5,0)</f>
        <v>0</v>
      </c>
      <c r="S6" s="58" t="s">
        <v>60</v>
      </c>
    </row>
    <row r="7" spans="1:19">
      <c r="A7" s="101" t="s">
        <v>61</v>
      </c>
      <c r="B7" s="103">
        <v>0</v>
      </c>
      <c r="C7" s="105" t="e">
        <f>B7-J7-L7-M7</f>
        <v>#REF!</v>
      </c>
      <c r="D7" s="105" t="e">
        <f>C7-SUM(F7:I7)</f>
        <v>#REF!</v>
      </c>
      <c r="E7" s="36" t="e">
        <f>C7-D7</f>
        <v>#REF!</v>
      </c>
      <c r="F7" s="37" t="e">
        <f>#REF!</f>
        <v>#REF!</v>
      </c>
      <c r="G7" s="38" t="e">
        <f>#REF!</f>
        <v>#REF!</v>
      </c>
      <c r="H7" s="39">
        <v>0</v>
      </c>
      <c r="I7" s="40" t="e">
        <f>#REF!</f>
        <v>#REF!</v>
      </c>
      <c r="J7" s="41" t="e">
        <f>#REF!</f>
        <v>#REF!</v>
      </c>
      <c r="K7" s="42"/>
      <c r="L7" s="43" t="e">
        <f>#REF!</f>
        <v>#REF!</v>
      </c>
      <c r="M7" s="44" t="e">
        <f>#REF!</f>
        <v>#REF!</v>
      </c>
      <c r="S7" s="58" t="s">
        <v>62</v>
      </c>
    </row>
    <row r="8" spans="1:19" ht="16.5" thickBot="1">
      <c r="A8" s="102"/>
      <c r="B8" s="104"/>
      <c r="C8" s="106"/>
      <c r="D8" s="106"/>
      <c r="E8" s="45" t="e">
        <f>IF(C$7&gt;0,E7/C$7,0)</f>
        <v>#REF!</v>
      </c>
      <c r="F8" s="46" t="e">
        <f>IF($C7&gt;0,F7/$C7,0)</f>
        <v>#REF!</v>
      </c>
      <c r="G8" s="47" t="e">
        <f>IF($C7&gt;0,G7/$C7,0)</f>
        <v>#REF!</v>
      </c>
      <c r="H8" s="48" t="e">
        <f>IF($C7&gt;0,H7/$C7,0)</f>
        <v>#REF!</v>
      </c>
      <c r="I8" s="49" t="e">
        <f>IF($C7&gt;0,I7/$C7,0)</f>
        <v>#REF!</v>
      </c>
      <c r="J8" s="50">
        <f>IF($B7&gt;0,J7/$B7,0)</f>
        <v>0</v>
      </c>
      <c r="K8" s="51"/>
      <c r="L8" s="52">
        <f>IF($B7&gt;0,L7/$B7,0)</f>
        <v>0</v>
      </c>
      <c r="M8" s="53">
        <v>0</v>
      </c>
      <c r="S8" s="58" t="s">
        <v>63</v>
      </c>
    </row>
    <row r="9" spans="1:19">
      <c r="A9" s="101" t="s">
        <v>64</v>
      </c>
      <c r="B9" s="103">
        <v>0</v>
      </c>
      <c r="C9" s="105" t="e">
        <f>B9-J9-L9-M9</f>
        <v>#REF!</v>
      </c>
      <c r="D9" s="105" t="e">
        <f>C9-SUM(F9:I9)</f>
        <v>#REF!</v>
      </c>
      <c r="E9" s="36" t="e">
        <f>C9-D9</f>
        <v>#REF!</v>
      </c>
      <c r="F9" s="37" t="e">
        <f>#REF!</f>
        <v>#REF!</v>
      </c>
      <c r="G9" s="38" t="e">
        <f>#REF!</f>
        <v>#REF!</v>
      </c>
      <c r="H9" s="39">
        <v>0</v>
      </c>
      <c r="I9" s="40" t="e">
        <f>#REF!</f>
        <v>#REF!</v>
      </c>
      <c r="J9" s="41" t="e">
        <f>#REF!</f>
        <v>#REF!</v>
      </c>
      <c r="K9" s="42"/>
      <c r="L9" s="43" t="e">
        <f>#REF!</f>
        <v>#REF!</v>
      </c>
      <c r="M9" s="44" t="e">
        <f>#REF!</f>
        <v>#REF!</v>
      </c>
      <c r="S9" s="58" t="s">
        <v>65</v>
      </c>
    </row>
    <row r="10" spans="1:19" ht="16.5" thickBot="1">
      <c r="A10" s="102"/>
      <c r="B10" s="104"/>
      <c r="C10" s="106"/>
      <c r="D10" s="106"/>
      <c r="E10" s="45" t="e">
        <f>IF(C$9&gt;0,E9/C$9,0)</f>
        <v>#REF!</v>
      </c>
      <c r="F10" s="46" t="e">
        <f>IF($C9&gt;0,F9/$C9,0)</f>
        <v>#REF!</v>
      </c>
      <c r="G10" s="47" t="e">
        <f>IF($C9&gt;0,G9/$C9,0)</f>
        <v>#REF!</v>
      </c>
      <c r="H10" s="48" t="e">
        <f>IF($C9&gt;0,H9/$C9,0)</f>
        <v>#REF!</v>
      </c>
      <c r="I10" s="49" t="e">
        <f>IF($C9&gt;0,I9/$C9,0)</f>
        <v>#REF!</v>
      </c>
      <c r="J10" s="50">
        <f>IF($B9&gt;0,J9/$B9,0)</f>
        <v>0</v>
      </c>
      <c r="K10" s="51"/>
      <c r="L10" s="52">
        <f>IF($B9&gt;0,L9/$B9,0)</f>
        <v>0</v>
      </c>
      <c r="M10" s="53">
        <v>0</v>
      </c>
    </row>
  </sheetData>
  <mergeCells count="14">
    <mergeCell ref="A7:A8"/>
    <mergeCell ref="B7:B8"/>
    <mergeCell ref="C7:C8"/>
    <mergeCell ref="D7:D8"/>
    <mergeCell ref="A9:A10"/>
    <mergeCell ref="B9:B10"/>
    <mergeCell ref="C9:C10"/>
    <mergeCell ref="D9:D10"/>
    <mergeCell ref="A1:M1"/>
    <mergeCell ref="A2:M2"/>
    <mergeCell ref="A5:A6"/>
    <mergeCell ref="B5:B6"/>
    <mergeCell ref="C5:C6"/>
    <mergeCell ref="D5:D6"/>
  </mergeCells>
  <phoneticPr fontId="38" type="noConversion"/>
  <conditionalFormatting sqref="C1:C1048576">
    <cfRule type="containsText" priority="1" stopIfTrue="1" operator="containsText" text="P">
      <formula>NOT(ISERROR(SEARCH("P",C1)))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L325"/>
  <sheetViews>
    <sheetView tabSelected="1" zoomScaleNormal="100" workbookViewId="0">
      <selection sqref="A1:XFD1048576"/>
    </sheetView>
  </sheetViews>
  <sheetFormatPr defaultRowHeight="15.75"/>
  <cols>
    <col min="1" max="1" width="19.7109375" style="54" bestFit="1" customWidth="1"/>
    <col min="2" max="2" width="151" style="54" bestFit="1" customWidth="1"/>
    <col min="3" max="4" width="37.28515625" style="54" customWidth="1"/>
    <col min="5" max="7" width="20" style="54" bestFit="1" customWidth="1"/>
    <col min="8" max="8" width="13.28515625" bestFit="1" customWidth="1"/>
    <col min="9" max="9" width="11" style="54" bestFit="1" customWidth="1"/>
  </cols>
  <sheetData>
    <row r="1" spans="1:12">
      <c r="B1" s="67" t="s">
        <v>66</v>
      </c>
      <c r="C1" s="54" t="s">
        <v>67</v>
      </c>
      <c r="D1" s="54" t="s">
        <v>68</v>
      </c>
      <c r="E1" s="58" t="s">
        <v>69</v>
      </c>
      <c r="F1" s="58" t="s">
        <v>69</v>
      </c>
      <c r="G1" s="58" t="s">
        <v>69</v>
      </c>
    </row>
    <row r="2" spans="1:12">
      <c r="B2" s="67" t="s">
        <v>70</v>
      </c>
      <c r="C2" s="54" t="s">
        <v>71</v>
      </c>
      <c r="D2" s="54" t="s">
        <v>71</v>
      </c>
      <c r="E2" s="58" t="s">
        <v>72</v>
      </c>
      <c r="F2" s="58" t="s">
        <v>72</v>
      </c>
      <c r="G2" s="58" t="s">
        <v>72</v>
      </c>
    </row>
    <row r="3" spans="1:12">
      <c r="B3" s="67" t="s">
        <v>73</v>
      </c>
      <c r="C3" s="73" t="s">
        <v>74</v>
      </c>
      <c r="D3" s="73" t="s">
        <v>74</v>
      </c>
      <c r="E3" s="58" t="s">
        <v>75</v>
      </c>
      <c r="F3" s="58" t="s">
        <v>75</v>
      </c>
      <c r="G3" s="58" t="s">
        <v>75</v>
      </c>
    </row>
    <row r="4" spans="1:12">
      <c r="B4" s="67" t="s">
        <v>76</v>
      </c>
      <c r="C4" s="54" t="s">
        <v>77</v>
      </c>
      <c r="D4" s="54" t="s">
        <v>77</v>
      </c>
      <c r="E4" s="58" t="s">
        <v>78</v>
      </c>
      <c r="F4" s="58" t="s">
        <v>78</v>
      </c>
      <c r="G4" s="58" t="s">
        <v>78</v>
      </c>
      <c r="K4" t="s">
        <v>57</v>
      </c>
      <c r="L4">
        <f>COUNTIFS($H:$H,K$4)</f>
        <v>81</v>
      </c>
    </row>
    <row r="5" spans="1:12">
      <c r="B5" s="67" t="s">
        <v>79</v>
      </c>
      <c r="C5" s="54" t="s">
        <v>80</v>
      </c>
      <c r="D5" s="54" t="s">
        <v>80</v>
      </c>
      <c r="E5" s="58" t="s">
        <v>81</v>
      </c>
      <c r="F5" s="58" t="s">
        <v>81</v>
      </c>
      <c r="G5" s="58" t="s">
        <v>81</v>
      </c>
      <c r="K5" t="s">
        <v>59</v>
      </c>
      <c r="L5">
        <f>COUNTIFS($H:$H,K$5)</f>
        <v>14</v>
      </c>
    </row>
    <row r="6" spans="1:12" s="70" customFormat="1" ht="19.5">
      <c r="A6" s="68" t="s">
        <v>82</v>
      </c>
      <c r="B6" s="68" t="s">
        <v>83</v>
      </c>
      <c r="C6" s="68" t="s">
        <v>84</v>
      </c>
      <c r="D6" s="68" t="s">
        <v>84</v>
      </c>
      <c r="E6" s="68" t="s">
        <v>84</v>
      </c>
      <c r="F6" s="68" t="s">
        <v>84</v>
      </c>
      <c r="G6" s="68" t="s">
        <v>84</v>
      </c>
      <c r="H6" s="69" t="s">
        <v>85</v>
      </c>
      <c r="I6" s="68" t="s">
        <v>86</v>
      </c>
      <c r="K6" s="70" t="s">
        <v>60</v>
      </c>
      <c r="L6" s="70">
        <f>COUNTIFS($H:$H,K$6)</f>
        <v>0</v>
      </c>
    </row>
    <row r="7" spans="1:12" hidden="1">
      <c r="A7" s="54" t="s">
        <v>87</v>
      </c>
      <c r="B7" s="54" t="s">
        <v>88</v>
      </c>
      <c r="H7" t="str">
        <f t="shared" ref="H7:H70" si="0">IF(G7="",IF(F7="",IF(E7="",IF(D7="",IF(C7="","",C7),D7),E7),F7),G7)</f>
        <v/>
      </c>
      <c r="K7" t="s">
        <v>62</v>
      </c>
      <c r="L7">
        <f>COUNTIFS($H:$H,K$7)</f>
        <v>4</v>
      </c>
    </row>
    <row r="8" spans="1:12" hidden="1">
      <c r="A8" s="54" t="s">
        <v>89</v>
      </c>
      <c r="B8" s="54" t="s">
        <v>90</v>
      </c>
      <c r="H8" t="str">
        <f t="shared" si="0"/>
        <v/>
      </c>
      <c r="K8" t="s">
        <v>63</v>
      </c>
      <c r="L8">
        <f>COUNTIFS($H:$H,K$8)</f>
        <v>0</v>
      </c>
    </row>
    <row r="9" spans="1:12" hidden="1">
      <c r="A9" s="54" t="s">
        <v>91</v>
      </c>
      <c r="B9" s="54" t="s">
        <v>92</v>
      </c>
      <c r="H9" t="str">
        <f t="shared" si="0"/>
        <v/>
      </c>
      <c r="K9" t="s">
        <v>65</v>
      </c>
      <c r="L9">
        <f>COUNTIFS($H:$H,K$9)</f>
        <v>0</v>
      </c>
    </row>
    <row r="10" spans="1:12" hidden="1">
      <c r="A10" s="54" t="s">
        <v>93</v>
      </c>
      <c r="B10" s="54" t="s">
        <v>94</v>
      </c>
      <c r="H10" t="str">
        <f t="shared" si="0"/>
        <v/>
      </c>
    </row>
    <row r="11" spans="1:12" hidden="1">
      <c r="A11" s="54" t="s">
        <v>95</v>
      </c>
      <c r="B11" s="54" t="s">
        <v>96</v>
      </c>
      <c r="H11" t="str">
        <f t="shared" si="0"/>
        <v/>
      </c>
    </row>
    <row r="12" spans="1:12" hidden="1">
      <c r="A12" s="54" t="s">
        <v>97</v>
      </c>
      <c r="B12" s="54" t="s">
        <v>98</v>
      </c>
      <c r="H12" t="str">
        <f t="shared" si="0"/>
        <v/>
      </c>
    </row>
    <row r="13" spans="1:12" hidden="1">
      <c r="A13" s="54" t="s">
        <v>99</v>
      </c>
      <c r="B13" s="54" t="s">
        <v>100</v>
      </c>
      <c r="H13" t="str">
        <f t="shared" si="0"/>
        <v/>
      </c>
    </row>
    <row r="14" spans="1:12" hidden="1">
      <c r="A14" s="54" t="s">
        <v>101</v>
      </c>
      <c r="B14" s="54" t="s">
        <v>102</v>
      </c>
      <c r="H14" t="str">
        <f t="shared" si="0"/>
        <v/>
      </c>
    </row>
    <row r="15" spans="1:12" hidden="1">
      <c r="A15" s="54" t="s">
        <v>103</v>
      </c>
      <c r="B15" s="54" t="s">
        <v>104</v>
      </c>
      <c r="H15" t="str">
        <f t="shared" si="0"/>
        <v/>
      </c>
    </row>
    <row r="16" spans="1:12" hidden="1">
      <c r="A16" s="54" t="s">
        <v>105</v>
      </c>
      <c r="B16" s="54" t="s">
        <v>106</v>
      </c>
      <c r="H16" t="str">
        <f t="shared" si="0"/>
        <v/>
      </c>
    </row>
    <row r="17" spans="1:8" hidden="1">
      <c r="A17" s="54" t="s">
        <v>107</v>
      </c>
      <c r="B17" s="54" t="s">
        <v>108</v>
      </c>
      <c r="H17" t="str">
        <f t="shared" si="0"/>
        <v/>
      </c>
    </row>
    <row r="18" spans="1:8" hidden="1">
      <c r="A18" s="54" t="s">
        <v>109</v>
      </c>
      <c r="B18" s="54" t="s">
        <v>110</v>
      </c>
      <c r="H18" t="str">
        <f t="shared" si="0"/>
        <v/>
      </c>
    </row>
    <row r="19" spans="1:8" hidden="1">
      <c r="A19" s="54" t="s">
        <v>111</v>
      </c>
      <c r="B19" s="54" t="s">
        <v>112</v>
      </c>
      <c r="H19" t="str">
        <f t="shared" si="0"/>
        <v/>
      </c>
    </row>
    <row r="20" spans="1:8" hidden="1">
      <c r="A20" s="54" t="s">
        <v>113</v>
      </c>
      <c r="B20" s="54" t="s">
        <v>114</v>
      </c>
      <c r="H20" t="str">
        <f t="shared" si="0"/>
        <v/>
      </c>
    </row>
    <row r="21" spans="1:8" hidden="1">
      <c r="A21" s="54" t="s">
        <v>115</v>
      </c>
      <c r="B21" s="54" t="s">
        <v>116</v>
      </c>
      <c r="H21" t="str">
        <f t="shared" si="0"/>
        <v/>
      </c>
    </row>
    <row r="22" spans="1:8" hidden="1">
      <c r="A22" s="54" t="s">
        <v>117</v>
      </c>
      <c r="B22" s="54" t="s">
        <v>118</v>
      </c>
      <c r="H22" t="str">
        <f t="shared" si="0"/>
        <v/>
      </c>
    </row>
    <row r="23" spans="1:8" hidden="1">
      <c r="A23" s="54" t="s">
        <v>119</v>
      </c>
      <c r="B23" s="54" t="s">
        <v>120</v>
      </c>
      <c r="H23" t="str">
        <f t="shared" si="0"/>
        <v/>
      </c>
    </row>
    <row r="24" spans="1:8" hidden="1">
      <c r="A24" s="54" t="s">
        <v>121</v>
      </c>
      <c r="B24" s="54" t="s">
        <v>122</v>
      </c>
      <c r="H24" t="str">
        <f t="shared" si="0"/>
        <v/>
      </c>
    </row>
    <row r="25" spans="1:8" hidden="1">
      <c r="A25" s="54" t="s">
        <v>123</v>
      </c>
      <c r="B25" s="54" t="s">
        <v>124</v>
      </c>
      <c r="H25" t="str">
        <f t="shared" si="0"/>
        <v/>
      </c>
    </row>
    <row r="26" spans="1:8" hidden="1">
      <c r="A26" s="54" t="s">
        <v>125</v>
      </c>
      <c r="B26" s="54" t="s">
        <v>126</v>
      </c>
      <c r="H26" t="str">
        <f t="shared" si="0"/>
        <v/>
      </c>
    </row>
    <row r="27" spans="1:8" hidden="1">
      <c r="A27" s="54" t="s">
        <v>127</v>
      </c>
      <c r="B27" s="54" t="s">
        <v>128</v>
      </c>
      <c r="H27" t="str">
        <f t="shared" si="0"/>
        <v/>
      </c>
    </row>
    <row r="28" spans="1:8" hidden="1">
      <c r="A28" s="54" t="s">
        <v>129</v>
      </c>
      <c r="B28" s="54" t="s">
        <v>130</v>
      </c>
      <c r="H28" t="str">
        <f t="shared" si="0"/>
        <v/>
      </c>
    </row>
    <row r="29" spans="1:8" hidden="1">
      <c r="A29" s="54" t="s">
        <v>131</v>
      </c>
      <c r="B29" s="54" t="s">
        <v>132</v>
      </c>
      <c r="H29" t="str">
        <f t="shared" si="0"/>
        <v/>
      </c>
    </row>
    <row r="30" spans="1:8" hidden="1">
      <c r="A30" s="54" t="s">
        <v>133</v>
      </c>
      <c r="B30" s="54" t="s">
        <v>134</v>
      </c>
      <c r="H30" t="str">
        <f t="shared" si="0"/>
        <v/>
      </c>
    </row>
    <row r="31" spans="1:8" hidden="1">
      <c r="A31" s="54" t="s">
        <v>135</v>
      </c>
      <c r="B31" s="54" t="s">
        <v>136</v>
      </c>
      <c r="H31" t="str">
        <f t="shared" si="0"/>
        <v/>
      </c>
    </row>
    <row r="32" spans="1:8" hidden="1">
      <c r="A32" s="54" t="s">
        <v>137</v>
      </c>
      <c r="B32" s="54" t="s">
        <v>138</v>
      </c>
      <c r="H32" t="str">
        <f t="shared" si="0"/>
        <v/>
      </c>
    </row>
    <row r="33" spans="1:8" hidden="1">
      <c r="A33" s="54" t="s">
        <v>139</v>
      </c>
      <c r="B33" s="54" t="s">
        <v>140</v>
      </c>
      <c r="H33" t="str">
        <f t="shared" si="0"/>
        <v/>
      </c>
    </row>
    <row r="34" spans="1:8" hidden="1">
      <c r="A34" s="54" t="s">
        <v>141</v>
      </c>
      <c r="B34" s="54" t="s">
        <v>142</v>
      </c>
      <c r="H34" t="str">
        <f t="shared" si="0"/>
        <v/>
      </c>
    </row>
    <row r="35" spans="1:8" hidden="1">
      <c r="A35" s="54" t="s">
        <v>143</v>
      </c>
      <c r="B35" s="54" t="s">
        <v>144</v>
      </c>
      <c r="H35" t="str">
        <f t="shared" si="0"/>
        <v/>
      </c>
    </row>
    <row r="36" spans="1:8" hidden="1">
      <c r="A36" s="54" t="s">
        <v>145</v>
      </c>
      <c r="B36" s="54" t="s">
        <v>146</v>
      </c>
      <c r="H36" t="str">
        <f t="shared" si="0"/>
        <v/>
      </c>
    </row>
    <row r="37" spans="1:8" hidden="1">
      <c r="A37" s="54" t="s">
        <v>147</v>
      </c>
      <c r="B37" s="54" t="s">
        <v>148</v>
      </c>
      <c r="H37" t="str">
        <f t="shared" si="0"/>
        <v/>
      </c>
    </row>
    <row r="38" spans="1:8" hidden="1">
      <c r="A38" s="54" t="s">
        <v>149</v>
      </c>
      <c r="B38" s="54" t="s">
        <v>150</v>
      </c>
      <c r="H38" t="str">
        <f t="shared" si="0"/>
        <v/>
      </c>
    </row>
    <row r="39" spans="1:8" hidden="1">
      <c r="A39" s="54" t="s">
        <v>151</v>
      </c>
      <c r="B39" s="54" t="s">
        <v>152</v>
      </c>
      <c r="H39" t="str">
        <f t="shared" si="0"/>
        <v/>
      </c>
    </row>
    <row r="40" spans="1:8" hidden="1">
      <c r="A40" s="54" t="s">
        <v>153</v>
      </c>
      <c r="B40" s="54" t="s">
        <v>154</v>
      </c>
      <c r="H40" t="str">
        <f t="shared" si="0"/>
        <v/>
      </c>
    </row>
    <row r="41" spans="1:8" hidden="1">
      <c r="A41" s="54" t="s">
        <v>155</v>
      </c>
      <c r="B41" s="54" t="s">
        <v>156</v>
      </c>
      <c r="H41" t="str">
        <f t="shared" si="0"/>
        <v/>
      </c>
    </row>
    <row r="42" spans="1:8" hidden="1">
      <c r="A42" s="54" t="s">
        <v>157</v>
      </c>
      <c r="B42" s="54" t="s">
        <v>158</v>
      </c>
      <c r="H42" t="str">
        <f t="shared" si="0"/>
        <v/>
      </c>
    </row>
    <row r="43" spans="1:8" hidden="1">
      <c r="A43" s="54" t="s">
        <v>159</v>
      </c>
      <c r="B43" s="54" t="s">
        <v>160</v>
      </c>
      <c r="H43" t="str">
        <f t="shared" si="0"/>
        <v/>
      </c>
    </row>
    <row r="44" spans="1:8" hidden="1">
      <c r="A44" s="54" t="s">
        <v>161</v>
      </c>
      <c r="B44" s="54" t="s">
        <v>162</v>
      </c>
      <c r="H44" t="str">
        <f t="shared" si="0"/>
        <v/>
      </c>
    </row>
    <row r="45" spans="1:8">
      <c r="A45" s="71" t="s">
        <v>163</v>
      </c>
      <c r="B45" s="71" t="s">
        <v>164</v>
      </c>
      <c r="C45" s="54" t="s">
        <v>57</v>
      </c>
      <c r="H45" t="str">
        <f t="shared" si="0"/>
        <v>Pass</v>
      </c>
    </row>
    <row r="46" spans="1:8">
      <c r="A46" s="72" t="s">
        <v>165</v>
      </c>
      <c r="B46" s="72" t="s">
        <v>166</v>
      </c>
      <c r="H46" t="str">
        <f t="shared" si="0"/>
        <v/>
      </c>
    </row>
    <row r="47" spans="1:8">
      <c r="A47" s="77" t="s">
        <v>167</v>
      </c>
      <c r="B47" s="77" t="s">
        <v>168</v>
      </c>
      <c r="C47" s="54" t="s">
        <v>57</v>
      </c>
      <c r="H47" t="str">
        <f t="shared" si="0"/>
        <v>Pass</v>
      </c>
    </row>
    <row r="48" spans="1:8">
      <c r="A48" s="71" t="s">
        <v>169</v>
      </c>
      <c r="B48" s="71" t="s">
        <v>170</v>
      </c>
      <c r="C48" s="54" t="s">
        <v>57</v>
      </c>
      <c r="H48" t="str">
        <f t="shared" si="0"/>
        <v>Pass</v>
      </c>
    </row>
    <row r="49" spans="1:8">
      <c r="A49" s="71" t="s">
        <v>171</v>
      </c>
      <c r="B49" s="71" t="s">
        <v>172</v>
      </c>
      <c r="C49" s="54" t="s">
        <v>57</v>
      </c>
      <c r="H49" t="str">
        <f t="shared" si="0"/>
        <v>Pass</v>
      </c>
    </row>
    <row r="50" spans="1:8">
      <c r="A50" s="71" t="s">
        <v>173</v>
      </c>
      <c r="B50" s="71" t="s">
        <v>174</v>
      </c>
      <c r="C50" s="54" t="s">
        <v>57</v>
      </c>
      <c r="H50" t="str">
        <f t="shared" si="0"/>
        <v>Pass</v>
      </c>
    </row>
    <row r="51" spans="1:8">
      <c r="A51" s="71" t="s">
        <v>175</v>
      </c>
      <c r="B51" s="71" t="s">
        <v>176</v>
      </c>
      <c r="C51" s="54" t="s">
        <v>57</v>
      </c>
      <c r="H51" t="str">
        <f t="shared" si="0"/>
        <v>Pass</v>
      </c>
    </row>
    <row r="52" spans="1:8">
      <c r="A52" s="71" t="s">
        <v>177</v>
      </c>
      <c r="B52" s="71" t="s">
        <v>178</v>
      </c>
      <c r="C52" s="54" t="s">
        <v>57</v>
      </c>
      <c r="H52" t="str">
        <f t="shared" si="0"/>
        <v>Pass</v>
      </c>
    </row>
    <row r="53" spans="1:8">
      <c r="A53" s="71" t="s">
        <v>179</v>
      </c>
      <c r="B53" s="71" t="s">
        <v>180</v>
      </c>
      <c r="C53" s="54" t="s">
        <v>59</v>
      </c>
      <c r="H53" t="str">
        <f t="shared" si="0"/>
        <v>Fail</v>
      </c>
    </row>
    <row r="54" spans="1:8">
      <c r="A54" s="71" t="s">
        <v>181</v>
      </c>
      <c r="B54" s="71" t="s">
        <v>182</v>
      </c>
      <c r="C54" s="54" t="s">
        <v>57</v>
      </c>
      <c r="H54" t="str">
        <f t="shared" si="0"/>
        <v>Pass</v>
      </c>
    </row>
    <row r="55" spans="1:8">
      <c r="A55" s="71" t="s">
        <v>183</v>
      </c>
      <c r="B55" s="71" t="s">
        <v>184</v>
      </c>
      <c r="C55" s="54" t="s">
        <v>57</v>
      </c>
      <c r="H55" t="str">
        <f t="shared" si="0"/>
        <v>Pass</v>
      </c>
    </row>
    <row r="56" spans="1:8">
      <c r="A56" s="71" t="s">
        <v>185</v>
      </c>
      <c r="B56" s="71" t="s">
        <v>186</v>
      </c>
      <c r="C56" s="54" t="s">
        <v>59</v>
      </c>
      <c r="H56" t="str">
        <f t="shared" si="0"/>
        <v>Fail</v>
      </c>
    </row>
    <row r="57" spans="1:8">
      <c r="A57" s="71" t="s">
        <v>187</v>
      </c>
      <c r="B57" s="71" t="s">
        <v>188</v>
      </c>
      <c r="C57" s="54" t="s">
        <v>57</v>
      </c>
      <c r="H57" t="str">
        <f t="shared" si="0"/>
        <v>Pass</v>
      </c>
    </row>
    <row r="58" spans="1:8">
      <c r="A58" s="72" t="s">
        <v>189</v>
      </c>
      <c r="B58" s="72" t="s">
        <v>190</v>
      </c>
      <c r="H58" t="str">
        <f t="shared" si="0"/>
        <v/>
      </c>
    </row>
    <row r="59" spans="1:8">
      <c r="A59" s="71" t="s">
        <v>191</v>
      </c>
      <c r="B59" s="71" t="s">
        <v>192</v>
      </c>
      <c r="C59" s="54" t="s">
        <v>57</v>
      </c>
      <c r="H59" t="str">
        <f t="shared" si="0"/>
        <v>Pass</v>
      </c>
    </row>
    <row r="60" spans="1:8">
      <c r="A60" s="71" t="s">
        <v>193</v>
      </c>
      <c r="B60" s="71" t="s">
        <v>194</v>
      </c>
      <c r="C60" s="54" t="s">
        <v>57</v>
      </c>
      <c r="H60" t="str">
        <f t="shared" si="0"/>
        <v>Pass</v>
      </c>
    </row>
    <row r="61" spans="1:8">
      <c r="A61" s="71" t="s">
        <v>195</v>
      </c>
      <c r="B61" s="71" t="s">
        <v>196</v>
      </c>
      <c r="C61" s="54" t="s">
        <v>57</v>
      </c>
      <c r="H61" t="str">
        <f t="shared" si="0"/>
        <v>Pass</v>
      </c>
    </row>
    <row r="62" spans="1:8">
      <c r="A62" s="72" t="s">
        <v>197</v>
      </c>
      <c r="B62" s="72" t="s">
        <v>198</v>
      </c>
      <c r="H62" t="str">
        <f t="shared" si="0"/>
        <v/>
      </c>
    </row>
    <row r="63" spans="1:8">
      <c r="A63" s="72" t="s">
        <v>199</v>
      </c>
      <c r="B63" s="72" t="s">
        <v>200</v>
      </c>
      <c r="H63" t="str">
        <f t="shared" si="0"/>
        <v/>
      </c>
    </row>
    <row r="64" spans="1:8">
      <c r="A64" s="71" t="s">
        <v>201</v>
      </c>
      <c r="B64" s="71" t="s">
        <v>202</v>
      </c>
      <c r="C64" s="54" t="s">
        <v>57</v>
      </c>
      <c r="H64" t="str">
        <f t="shared" si="0"/>
        <v>Pass</v>
      </c>
    </row>
    <row r="65" spans="1:8">
      <c r="A65" s="54" t="s">
        <v>203</v>
      </c>
      <c r="B65" s="54" t="s">
        <v>204</v>
      </c>
      <c r="H65" t="str">
        <f t="shared" si="0"/>
        <v/>
      </c>
    </row>
    <row r="66" spans="1:8">
      <c r="A66" s="54" t="s">
        <v>205</v>
      </c>
      <c r="B66" s="54" t="s">
        <v>206</v>
      </c>
      <c r="H66" t="str">
        <f t="shared" si="0"/>
        <v/>
      </c>
    </row>
    <row r="67" spans="1:8">
      <c r="A67" s="54" t="s">
        <v>207</v>
      </c>
      <c r="B67" s="54" t="s">
        <v>208</v>
      </c>
      <c r="H67" t="str">
        <f t="shared" si="0"/>
        <v/>
      </c>
    </row>
    <row r="68" spans="1:8">
      <c r="A68" s="54" t="s">
        <v>209</v>
      </c>
      <c r="B68" s="54" t="s">
        <v>210</v>
      </c>
      <c r="H68" t="str">
        <f t="shared" si="0"/>
        <v/>
      </c>
    </row>
    <row r="69" spans="1:8">
      <c r="A69" s="54" t="s">
        <v>211</v>
      </c>
      <c r="B69" s="54" t="s">
        <v>212</v>
      </c>
      <c r="H69" t="str">
        <f t="shared" si="0"/>
        <v/>
      </c>
    </row>
    <row r="70" spans="1:8">
      <c r="A70" s="71" t="s">
        <v>213</v>
      </c>
      <c r="B70" s="71" t="s">
        <v>214</v>
      </c>
      <c r="C70" s="54" t="s">
        <v>57</v>
      </c>
      <c r="H70" t="str">
        <f t="shared" si="0"/>
        <v>Pass</v>
      </c>
    </row>
    <row r="71" spans="1:8">
      <c r="A71" s="72" t="s">
        <v>215</v>
      </c>
      <c r="B71" s="72" t="s">
        <v>216</v>
      </c>
      <c r="H71" t="str">
        <f t="shared" ref="H71:H134" si="1">IF(G71="",IF(F71="",IF(E71="",IF(D71="",IF(C71="","",C71),D71),E71),F71),G71)</f>
        <v/>
      </c>
    </row>
    <row r="72" spans="1:8">
      <c r="A72" s="71" t="s">
        <v>217</v>
      </c>
      <c r="B72" s="71" t="s">
        <v>218</v>
      </c>
      <c r="C72" s="54" t="s">
        <v>57</v>
      </c>
      <c r="H72" t="str">
        <f t="shared" si="1"/>
        <v>Pass</v>
      </c>
    </row>
    <row r="73" spans="1:8">
      <c r="A73" s="72" t="s">
        <v>219</v>
      </c>
      <c r="B73" s="72" t="s">
        <v>220</v>
      </c>
      <c r="H73" t="str">
        <f t="shared" si="1"/>
        <v/>
      </c>
    </row>
    <row r="74" spans="1:8">
      <c r="A74" s="71" t="s">
        <v>221</v>
      </c>
      <c r="B74" s="71" t="s">
        <v>222</v>
      </c>
      <c r="C74" s="54" t="s">
        <v>57</v>
      </c>
      <c r="H74" t="str">
        <f t="shared" si="1"/>
        <v>Pass</v>
      </c>
    </row>
    <row r="75" spans="1:8">
      <c r="A75" s="71" t="s">
        <v>223</v>
      </c>
      <c r="B75" s="71" t="s">
        <v>224</v>
      </c>
      <c r="C75" s="54" t="s">
        <v>57</v>
      </c>
      <c r="H75" t="str">
        <f t="shared" si="1"/>
        <v>Pass</v>
      </c>
    </row>
    <row r="76" spans="1:8">
      <c r="A76" s="71" t="s">
        <v>225</v>
      </c>
      <c r="B76" s="71" t="s">
        <v>226</v>
      </c>
      <c r="C76" s="54" t="s">
        <v>57</v>
      </c>
      <c r="H76" t="str">
        <f t="shared" si="1"/>
        <v>Pass</v>
      </c>
    </row>
    <row r="77" spans="1:8">
      <c r="A77" s="71" t="s">
        <v>227</v>
      </c>
      <c r="B77" s="71" t="s">
        <v>228</v>
      </c>
      <c r="C77" s="54" t="s">
        <v>59</v>
      </c>
      <c r="H77" t="str">
        <f t="shared" si="1"/>
        <v>Fail</v>
      </c>
    </row>
    <row r="78" spans="1:8">
      <c r="A78" s="71" t="s">
        <v>229</v>
      </c>
      <c r="B78" s="71" t="s">
        <v>230</v>
      </c>
      <c r="C78" s="54" t="s">
        <v>57</v>
      </c>
      <c r="H78" t="str">
        <f t="shared" si="1"/>
        <v>Pass</v>
      </c>
    </row>
    <row r="79" spans="1:8">
      <c r="A79" s="71" t="s">
        <v>231</v>
      </c>
      <c r="B79" s="71" t="s">
        <v>232</v>
      </c>
      <c r="C79" s="54" t="s">
        <v>57</v>
      </c>
      <c r="H79" t="str">
        <f t="shared" si="1"/>
        <v>Pass</v>
      </c>
    </row>
    <row r="80" spans="1:8">
      <c r="A80" s="71" t="s">
        <v>233</v>
      </c>
      <c r="B80" s="71" t="s">
        <v>234</v>
      </c>
      <c r="C80" s="54" t="s">
        <v>57</v>
      </c>
      <c r="H80" t="str">
        <f t="shared" si="1"/>
        <v>Pass</v>
      </c>
    </row>
    <row r="81" spans="1:8">
      <c r="A81" s="72" t="s">
        <v>235</v>
      </c>
      <c r="B81" s="72" t="s">
        <v>236</v>
      </c>
      <c r="H81" t="str">
        <f t="shared" si="1"/>
        <v/>
      </c>
    </row>
    <row r="82" spans="1:8">
      <c r="A82" s="71" t="s">
        <v>237</v>
      </c>
      <c r="B82" s="71" t="s">
        <v>238</v>
      </c>
      <c r="C82" s="54" t="s">
        <v>57</v>
      </c>
      <c r="H82" t="str">
        <f t="shared" si="1"/>
        <v>Pass</v>
      </c>
    </row>
    <row r="83" spans="1:8">
      <c r="A83" s="71" t="s">
        <v>239</v>
      </c>
      <c r="B83" s="71" t="s">
        <v>240</v>
      </c>
      <c r="C83" s="54" t="s">
        <v>57</v>
      </c>
      <c r="H83" t="str">
        <f t="shared" si="1"/>
        <v>Pass</v>
      </c>
    </row>
    <row r="84" spans="1:8">
      <c r="A84" s="72" t="s">
        <v>241</v>
      </c>
      <c r="B84" s="72" t="s">
        <v>242</v>
      </c>
      <c r="H84" t="str">
        <f t="shared" si="1"/>
        <v/>
      </c>
    </row>
    <row r="85" spans="1:8">
      <c r="A85" s="71" t="s">
        <v>243</v>
      </c>
      <c r="B85" s="71" t="s">
        <v>244</v>
      </c>
      <c r="C85" s="54" t="s">
        <v>57</v>
      </c>
      <c r="H85" t="str">
        <f t="shared" si="1"/>
        <v>Pass</v>
      </c>
    </row>
    <row r="86" spans="1:8">
      <c r="A86" s="71" t="s">
        <v>245</v>
      </c>
      <c r="B86" s="71" t="s">
        <v>246</v>
      </c>
      <c r="C86" s="54" t="s">
        <v>57</v>
      </c>
      <c r="H86" t="str">
        <f t="shared" si="1"/>
        <v>Pass</v>
      </c>
    </row>
    <row r="87" spans="1:8">
      <c r="A87" s="71" t="s">
        <v>247</v>
      </c>
      <c r="B87" s="71" t="s">
        <v>248</v>
      </c>
      <c r="C87" s="54" t="s">
        <v>57</v>
      </c>
      <c r="H87" t="str">
        <f t="shared" si="1"/>
        <v>Pass</v>
      </c>
    </row>
    <row r="88" spans="1:8">
      <c r="A88" s="71" t="s">
        <v>249</v>
      </c>
      <c r="B88" s="71" t="s">
        <v>250</v>
      </c>
      <c r="C88" s="54" t="s">
        <v>57</v>
      </c>
      <c r="H88" t="str">
        <f t="shared" si="1"/>
        <v>Pass</v>
      </c>
    </row>
    <row r="89" spans="1:8">
      <c r="A89" s="71" t="s">
        <v>251</v>
      </c>
      <c r="B89" s="71" t="s">
        <v>252</v>
      </c>
      <c r="C89" s="54" t="s">
        <v>57</v>
      </c>
      <c r="H89" t="str">
        <f t="shared" si="1"/>
        <v>Pass</v>
      </c>
    </row>
    <row r="90" spans="1:8">
      <c r="A90" s="71" t="s">
        <v>253</v>
      </c>
      <c r="B90" s="71" t="s">
        <v>254</v>
      </c>
      <c r="C90" s="54" t="s">
        <v>57</v>
      </c>
      <c r="H90" t="str">
        <f t="shared" si="1"/>
        <v>Pass</v>
      </c>
    </row>
    <row r="91" spans="1:8">
      <c r="A91" s="71" t="s">
        <v>255</v>
      </c>
      <c r="B91" s="71" t="s">
        <v>256</v>
      </c>
      <c r="C91" s="54" t="s">
        <v>57</v>
      </c>
      <c r="H91" t="str">
        <f t="shared" si="1"/>
        <v>Pass</v>
      </c>
    </row>
    <row r="92" spans="1:8">
      <c r="A92" s="71" t="s">
        <v>257</v>
      </c>
      <c r="B92" s="71" t="s">
        <v>258</v>
      </c>
      <c r="C92" s="54" t="s">
        <v>57</v>
      </c>
      <c r="H92" t="str">
        <f t="shared" si="1"/>
        <v>Pass</v>
      </c>
    </row>
    <row r="93" spans="1:8">
      <c r="A93" s="71" t="s">
        <v>259</v>
      </c>
      <c r="B93" s="71" t="s">
        <v>258</v>
      </c>
      <c r="C93" s="54" t="s">
        <v>57</v>
      </c>
      <c r="H93" t="str">
        <f t="shared" si="1"/>
        <v>Pass</v>
      </c>
    </row>
    <row r="94" spans="1:8">
      <c r="A94" s="71" t="s">
        <v>260</v>
      </c>
      <c r="B94" s="71" t="s">
        <v>261</v>
      </c>
      <c r="C94" s="54" t="s">
        <v>57</v>
      </c>
      <c r="H94" t="str">
        <f t="shared" si="1"/>
        <v>Pass</v>
      </c>
    </row>
    <row r="95" spans="1:8">
      <c r="A95" s="71" t="s">
        <v>262</v>
      </c>
      <c r="B95" s="71" t="s">
        <v>263</v>
      </c>
      <c r="C95" s="54" t="s">
        <v>57</v>
      </c>
      <c r="H95" t="str">
        <f t="shared" si="1"/>
        <v>Pass</v>
      </c>
    </row>
    <row r="96" spans="1:8">
      <c r="A96" s="71" t="s">
        <v>264</v>
      </c>
      <c r="B96" s="71" t="s">
        <v>265</v>
      </c>
      <c r="C96" s="54" t="s">
        <v>57</v>
      </c>
      <c r="H96" t="str">
        <f t="shared" si="1"/>
        <v>Pass</v>
      </c>
    </row>
    <row r="97" spans="1:8">
      <c r="A97" s="71" t="s">
        <v>266</v>
      </c>
      <c r="B97" s="71" t="s">
        <v>267</v>
      </c>
      <c r="C97" s="54" t="s">
        <v>59</v>
      </c>
      <c r="H97" t="str">
        <f t="shared" si="1"/>
        <v>Fail</v>
      </c>
    </row>
    <row r="98" spans="1:8">
      <c r="A98" s="72" t="s">
        <v>268</v>
      </c>
      <c r="B98" s="72" t="s">
        <v>269</v>
      </c>
      <c r="H98" t="str">
        <f t="shared" si="1"/>
        <v/>
      </c>
    </row>
    <row r="99" spans="1:8">
      <c r="A99" s="71" t="s">
        <v>270</v>
      </c>
      <c r="B99" s="71" t="s">
        <v>271</v>
      </c>
      <c r="D99" s="54" t="s">
        <v>57</v>
      </c>
      <c r="H99" t="str">
        <f t="shared" si="1"/>
        <v>Pass</v>
      </c>
    </row>
    <row r="100" spans="1:8">
      <c r="A100" s="71" t="s">
        <v>272</v>
      </c>
      <c r="B100" s="71" t="s">
        <v>273</v>
      </c>
      <c r="D100" s="54" t="s">
        <v>57</v>
      </c>
      <c r="H100" t="str">
        <f t="shared" si="1"/>
        <v>Pass</v>
      </c>
    </row>
    <row r="101" spans="1:8">
      <c r="A101" s="71" t="s">
        <v>274</v>
      </c>
      <c r="B101" s="71" t="s">
        <v>275</v>
      </c>
      <c r="D101" s="54" t="s">
        <v>59</v>
      </c>
      <c r="H101" t="str">
        <f t="shared" si="1"/>
        <v>Fail</v>
      </c>
    </row>
    <row r="102" spans="1:8">
      <c r="A102" s="71" t="s">
        <v>276</v>
      </c>
      <c r="B102" s="71" t="s">
        <v>277</v>
      </c>
      <c r="D102" s="54" t="s">
        <v>57</v>
      </c>
      <c r="H102" t="str">
        <f t="shared" si="1"/>
        <v>Pass</v>
      </c>
    </row>
    <row r="103" spans="1:8">
      <c r="A103" s="71" t="s">
        <v>278</v>
      </c>
      <c r="B103" s="71" t="s">
        <v>279</v>
      </c>
      <c r="D103" s="54" t="s">
        <v>57</v>
      </c>
      <c r="H103" t="str">
        <f t="shared" si="1"/>
        <v>Pass</v>
      </c>
    </row>
    <row r="104" spans="1:8">
      <c r="A104" s="71" t="s">
        <v>280</v>
      </c>
      <c r="B104" s="71" t="s">
        <v>281</v>
      </c>
      <c r="D104" s="54" t="s">
        <v>57</v>
      </c>
      <c r="H104" t="str">
        <f t="shared" si="1"/>
        <v>Pass</v>
      </c>
    </row>
    <row r="105" spans="1:8">
      <c r="A105" s="71" t="s">
        <v>282</v>
      </c>
      <c r="B105" s="71" t="s">
        <v>283</v>
      </c>
      <c r="D105" s="54" t="s">
        <v>57</v>
      </c>
      <c r="H105" t="str">
        <f t="shared" si="1"/>
        <v>Pass</v>
      </c>
    </row>
    <row r="106" spans="1:8">
      <c r="A106" s="72" t="s">
        <v>284</v>
      </c>
      <c r="B106" s="72" t="s">
        <v>285</v>
      </c>
      <c r="H106" t="str">
        <f t="shared" si="1"/>
        <v/>
      </c>
    </row>
    <row r="107" spans="1:8">
      <c r="A107" s="71" t="s">
        <v>286</v>
      </c>
      <c r="B107" s="71" t="s">
        <v>287</v>
      </c>
      <c r="D107" s="54" t="s">
        <v>57</v>
      </c>
      <c r="H107" t="str">
        <f t="shared" si="1"/>
        <v>Pass</v>
      </c>
    </row>
    <row r="108" spans="1:8">
      <c r="A108" s="71" t="s">
        <v>288</v>
      </c>
      <c r="B108" s="71" t="s">
        <v>289</v>
      </c>
      <c r="D108" s="54" t="s">
        <v>57</v>
      </c>
      <c r="H108" t="str">
        <f t="shared" si="1"/>
        <v>Pass</v>
      </c>
    </row>
    <row r="109" spans="1:8">
      <c r="A109" s="72" t="s">
        <v>290</v>
      </c>
      <c r="B109" s="72" t="s">
        <v>291</v>
      </c>
      <c r="H109" t="str">
        <f t="shared" si="1"/>
        <v/>
      </c>
    </row>
    <row r="110" spans="1:8">
      <c r="A110" s="71" t="s">
        <v>292</v>
      </c>
      <c r="B110" s="71" t="s">
        <v>293</v>
      </c>
      <c r="D110" s="54" t="s">
        <v>57</v>
      </c>
      <c r="H110" t="str">
        <f t="shared" si="1"/>
        <v>Pass</v>
      </c>
    </row>
    <row r="111" spans="1:8">
      <c r="A111" s="72" t="s">
        <v>294</v>
      </c>
      <c r="B111" s="72" t="s">
        <v>295</v>
      </c>
      <c r="H111" t="str">
        <f t="shared" si="1"/>
        <v/>
      </c>
    </row>
    <row r="112" spans="1:8">
      <c r="A112" s="71" t="s">
        <v>296</v>
      </c>
      <c r="B112" s="71" t="s">
        <v>297</v>
      </c>
      <c r="D112" s="54" t="s">
        <v>57</v>
      </c>
      <c r="H112" t="str">
        <f t="shared" si="1"/>
        <v>Pass</v>
      </c>
    </row>
    <row r="113" spans="1:8">
      <c r="A113" s="71" t="s">
        <v>298</v>
      </c>
      <c r="B113" s="71" t="s">
        <v>299</v>
      </c>
      <c r="D113" s="54" t="s">
        <v>57</v>
      </c>
      <c r="H113" t="str">
        <f t="shared" si="1"/>
        <v>Pass</v>
      </c>
    </row>
    <row r="114" spans="1:8">
      <c r="A114" s="71" t="s">
        <v>300</v>
      </c>
      <c r="B114" s="71" t="s">
        <v>301</v>
      </c>
      <c r="D114" s="54" t="s">
        <v>57</v>
      </c>
      <c r="H114" t="str">
        <f t="shared" si="1"/>
        <v>Pass</v>
      </c>
    </row>
    <row r="115" spans="1:8">
      <c r="A115" s="71" t="s">
        <v>302</v>
      </c>
      <c r="B115" s="71" t="s">
        <v>303</v>
      </c>
      <c r="D115" s="54" t="s">
        <v>59</v>
      </c>
      <c r="H115" t="str">
        <f t="shared" si="1"/>
        <v>Fail</v>
      </c>
    </row>
    <row r="116" spans="1:8">
      <c r="A116" s="71" t="s">
        <v>304</v>
      </c>
      <c r="B116" s="71" t="s">
        <v>305</v>
      </c>
      <c r="D116" s="54" t="s">
        <v>59</v>
      </c>
      <c r="H116" t="str">
        <f t="shared" si="1"/>
        <v>Fail</v>
      </c>
    </row>
    <row r="117" spans="1:8">
      <c r="A117" s="71" t="s">
        <v>306</v>
      </c>
      <c r="B117" s="71" t="s">
        <v>307</v>
      </c>
      <c r="D117" s="54" t="s">
        <v>57</v>
      </c>
      <c r="H117" t="str">
        <f t="shared" si="1"/>
        <v>Pass</v>
      </c>
    </row>
    <row r="118" spans="1:8">
      <c r="A118" s="72" t="s">
        <v>308</v>
      </c>
      <c r="B118" s="72" t="s">
        <v>309</v>
      </c>
      <c r="H118" t="str">
        <f t="shared" si="1"/>
        <v/>
      </c>
    </row>
    <row r="119" spans="1:8">
      <c r="A119" s="71" t="s">
        <v>310</v>
      </c>
      <c r="B119" s="71" t="s">
        <v>311</v>
      </c>
      <c r="D119" s="54" t="s">
        <v>57</v>
      </c>
      <c r="H119" t="str">
        <f t="shared" si="1"/>
        <v>Pass</v>
      </c>
    </row>
    <row r="120" spans="1:8">
      <c r="A120" s="71" t="s">
        <v>312</v>
      </c>
      <c r="B120" s="71" t="s">
        <v>313</v>
      </c>
      <c r="D120" s="54" t="s">
        <v>57</v>
      </c>
      <c r="H120" t="str">
        <f t="shared" si="1"/>
        <v>Pass</v>
      </c>
    </row>
    <row r="121" spans="1:8">
      <c r="A121" s="71" t="s">
        <v>314</v>
      </c>
      <c r="B121" s="71" t="s">
        <v>315</v>
      </c>
      <c r="D121" s="54" t="s">
        <v>57</v>
      </c>
      <c r="H121" t="str">
        <f t="shared" si="1"/>
        <v>Pass</v>
      </c>
    </row>
    <row r="122" spans="1:8">
      <c r="A122" s="72" t="s">
        <v>316</v>
      </c>
      <c r="B122" s="72" t="s">
        <v>317</v>
      </c>
      <c r="H122" t="str">
        <f t="shared" si="1"/>
        <v/>
      </c>
    </row>
    <row r="123" spans="1:8">
      <c r="A123" s="71" t="s">
        <v>318</v>
      </c>
      <c r="B123" s="71" t="s">
        <v>319</v>
      </c>
      <c r="D123" s="54" t="s">
        <v>57</v>
      </c>
      <c r="H123" t="str">
        <f t="shared" si="1"/>
        <v>Pass</v>
      </c>
    </row>
    <row r="124" spans="1:8">
      <c r="A124" s="72" t="s">
        <v>320</v>
      </c>
      <c r="B124" s="72" t="s">
        <v>321</v>
      </c>
      <c r="H124" t="str">
        <f t="shared" si="1"/>
        <v/>
      </c>
    </row>
    <row r="125" spans="1:8">
      <c r="A125" s="71" t="s">
        <v>322</v>
      </c>
      <c r="B125" s="71" t="s">
        <v>323</v>
      </c>
      <c r="D125" s="54" t="s">
        <v>57</v>
      </c>
      <c r="H125" t="str">
        <f t="shared" si="1"/>
        <v>Pass</v>
      </c>
    </row>
    <row r="126" spans="1:8">
      <c r="A126" s="71" t="s">
        <v>324</v>
      </c>
      <c r="B126" s="71" t="s">
        <v>325</v>
      </c>
      <c r="D126" s="54" t="s">
        <v>57</v>
      </c>
      <c r="H126" t="str">
        <f t="shared" si="1"/>
        <v>Pass</v>
      </c>
    </row>
    <row r="127" spans="1:8">
      <c r="A127" s="71" t="s">
        <v>326</v>
      </c>
      <c r="B127" s="71" t="s">
        <v>327</v>
      </c>
      <c r="D127" s="54" t="s">
        <v>57</v>
      </c>
      <c r="H127" t="str">
        <f t="shared" si="1"/>
        <v>Pass</v>
      </c>
    </row>
    <row r="128" spans="1:8">
      <c r="A128" s="71" t="s">
        <v>328</v>
      </c>
      <c r="B128" s="71" t="s">
        <v>329</v>
      </c>
      <c r="D128" s="54" t="s">
        <v>57</v>
      </c>
      <c r="H128" t="str">
        <f t="shared" si="1"/>
        <v>Pass</v>
      </c>
    </row>
    <row r="129" spans="1:8">
      <c r="A129" s="71" t="s">
        <v>330</v>
      </c>
      <c r="B129" s="71" t="s">
        <v>331</v>
      </c>
      <c r="D129" s="54" t="s">
        <v>57</v>
      </c>
      <c r="H129" t="str">
        <f t="shared" si="1"/>
        <v>Pass</v>
      </c>
    </row>
    <row r="130" spans="1:8">
      <c r="A130" s="71" t="s">
        <v>332</v>
      </c>
      <c r="B130" s="71" t="s">
        <v>333</v>
      </c>
      <c r="D130" s="54" t="s">
        <v>57</v>
      </c>
      <c r="H130" t="str">
        <f t="shared" si="1"/>
        <v>Pass</v>
      </c>
    </row>
    <row r="131" spans="1:8">
      <c r="A131" s="71" t="s">
        <v>334</v>
      </c>
      <c r="B131" s="71" t="s">
        <v>335</v>
      </c>
      <c r="D131" s="54" t="s">
        <v>57</v>
      </c>
      <c r="H131" t="str">
        <f t="shared" si="1"/>
        <v>Pass</v>
      </c>
    </row>
    <row r="132" spans="1:8">
      <c r="A132" s="72" t="s">
        <v>336</v>
      </c>
      <c r="B132" s="72" t="s">
        <v>337</v>
      </c>
      <c r="H132" t="str">
        <f t="shared" si="1"/>
        <v/>
      </c>
    </row>
    <row r="133" spans="1:8">
      <c r="A133" s="71" t="s">
        <v>338</v>
      </c>
      <c r="B133" s="71" t="s">
        <v>339</v>
      </c>
      <c r="D133" s="54" t="s">
        <v>57</v>
      </c>
      <c r="H133" t="str">
        <f t="shared" si="1"/>
        <v>Pass</v>
      </c>
    </row>
    <row r="134" spans="1:8">
      <c r="A134" s="71" t="s">
        <v>340</v>
      </c>
      <c r="B134" s="71" t="s">
        <v>341</v>
      </c>
      <c r="D134" s="54" t="s">
        <v>57</v>
      </c>
      <c r="H134" t="str">
        <f t="shared" si="1"/>
        <v>Pass</v>
      </c>
    </row>
    <row r="135" spans="1:8">
      <c r="A135" s="71" t="s">
        <v>342</v>
      </c>
      <c r="B135" s="71" t="s">
        <v>343</v>
      </c>
      <c r="D135" s="54" t="s">
        <v>57</v>
      </c>
      <c r="H135" t="str">
        <f t="shared" ref="H135:H198" si="2">IF(G135="",IF(F135="",IF(E135="",IF(D135="",IF(C135="","",C135),D135),E135),F135),G135)</f>
        <v>Pass</v>
      </c>
    </row>
    <row r="136" spans="1:8">
      <c r="A136" s="71" t="s">
        <v>344</v>
      </c>
      <c r="B136" s="71" t="s">
        <v>345</v>
      </c>
      <c r="D136" s="54" t="s">
        <v>57</v>
      </c>
      <c r="H136" t="str">
        <f t="shared" si="2"/>
        <v>Pass</v>
      </c>
    </row>
    <row r="137" spans="1:8">
      <c r="A137" s="71" t="s">
        <v>346</v>
      </c>
      <c r="B137" s="71" t="s">
        <v>347</v>
      </c>
      <c r="D137" s="54" t="s">
        <v>59</v>
      </c>
      <c r="H137" t="str">
        <f t="shared" si="2"/>
        <v>Fail</v>
      </c>
    </row>
    <row r="138" spans="1:8">
      <c r="A138" s="71" t="s">
        <v>348</v>
      </c>
      <c r="B138" s="71" t="s">
        <v>349</v>
      </c>
      <c r="D138" s="54" t="s">
        <v>57</v>
      </c>
      <c r="H138" t="str">
        <f t="shared" si="2"/>
        <v>Pass</v>
      </c>
    </row>
    <row r="139" spans="1:8">
      <c r="A139" s="71" t="s">
        <v>350</v>
      </c>
      <c r="B139" s="71" t="s">
        <v>351</v>
      </c>
      <c r="D139" s="54" t="s">
        <v>57</v>
      </c>
      <c r="H139" t="str">
        <f t="shared" si="2"/>
        <v>Pass</v>
      </c>
    </row>
    <row r="140" spans="1:8">
      <c r="A140" s="71" t="s">
        <v>352</v>
      </c>
      <c r="B140" s="71" t="s">
        <v>353</v>
      </c>
      <c r="D140" s="54" t="s">
        <v>57</v>
      </c>
      <c r="H140" t="str">
        <f t="shared" si="2"/>
        <v>Pass</v>
      </c>
    </row>
    <row r="141" spans="1:8">
      <c r="A141" s="71" t="s">
        <v>354</v>
      </c>
      <c r="B141" s="71" t="s">
        <v>355</v>
      </c>
      <c r="C141" s="54" t="s">
        <v>57</v>
      </c>
      <c r="H141" t="str">
        <f t="shared" si="2"/>
        <v>Pass</v>
      </c>
    </row>
    <row r="142" spans="1:8">
      <c r="A142" s="71" t="s">
        <v>356</v>
      </c>
      <c r="B142" s="71" t="s">
        <v>357</v>
      </c>
      <c r="C142" s="54" t="s">
        <v>62</v>
      </c>
      <c r="H142" t="str">
        <f t="shared" si="2"/>
        <v>NA</v>
      </c>
    </row>
    <row r="143" spans="1:8">
      <c r="A143" s="71" t="s">
        <v>358</v>
      </c>
      <c r="B143" s="71" t="s">
        <v>359</v>
      </c>
      <c r="C143" s="54" t="s">
        <v>62</v>
      </c>
      <c r="H143" t="str">
        <f t="shared" si="2"/>
        <v>NA</v>
      </c>
    </row>
    <row r="144" spans="1:8">
      <c r="A144" s="71" t="s">
        <v>360</v>
      </c>
      <c r="B144" s="71" t="s">
        <v>361</v>
      </c>
      <c r="C144" s="54" t="s">
        <v>62</v>
      </c>
      <c r="H144" t="str">
        <f t="shared" si="2"/>
        <v>NA</v>
      </c>
    </row>
    <row r="145" spans="1:8">
      <c r="A145" s="71" t="s">
        <v>362</v>
      </c>
      <c r="B145" s="71" t="s">
        <v>363</v>
      </c>
      <c r="C145" s="54" t="s">
        <v>57</v>
      </c>
      <c r="H145" t="str">
        <f t="shared" si="2"/>
        <v>Pass</v>
      </c>
    </row>
    <row r="146" spans="1:8">
      <c r="A146" s="72" t="s">
        <v>364</v>
      </c>
      <c r="B146" s="72" t="s">
        <v>365</v>
      </c>
      <c r="H146" t="str">
        <f t="shared" si="2"/>
        <v/>
      </c>
    </row>
    <row r="147" spans="1:8">
      <c r="A147" s="72" t="s">
        <v>366</v>
      </c>
      <c r="B147" s="72" t="s">
        <v>367</v>
      </c>
      <c r="H147" t="str">
        <f t="shared" si="2"/>
        <v/>
      </c>
    </row>
    <row r="148" spans="1:8">
      <c r="A148" s="71" t="s">
        <v>368</v>
      </c>
      <c r="B148" s="71" t="s">
        <v>369</v>
      </c>
      <c r="C148" s="54" t="s">
        <v>57</v>
      </c>
      <c r="H148" t="str">
        <f t="shared" si="2"/>
        <v>Pass</v>
      </c>
    </row>
    <row r="149" spans="1:8">
      <c r="A149" s="71" t="s">
        <v>370</v>
      </c>
      <c r="B149" s="71" t="s">
        <v>371</v>
      </c>
      <c r="C149" s="54" t="s">
        <v>57</v>
      </c>
      <c r="H149" t="str">
        <f t="shared" si="2"/>
        <v>Pass</v>
      </c>
    </row>
    <row r="150" spans="1:8">
      <c r="A150" s="71" t="s">
        <v>372</v>
      </c>
      <c r="B150" s="71" t="s">
        <v>373</v>
      </c>
      <c r="C150" s="54" t="s">
        <v>57</v>
      </c>
      <c r="H150" t="str">
        <f t="shared" si="2"/>
        <v>Pass</v>
      </c>
    </row>
    <row r="151" spans="1:8">
      <c r="A151" s="71" t="s">
        <v>374</v>
      </c>
      <c r="B151" s="71" t="s">
        <v>375</v>
      </c>
      <c r="C151" s="54" t="s">
        <v>59</v>
      </c>
      <c r="H151" t="str">
        <f t="shared" si="2"/>
        <v>Fail</v>
      </c>
    </row>
    <row r="152" spans="1:8">
      <c r="A152" s="71" t="s">
        <v>376</v>
      </c>
      <c r="B152" s="71" t="s">
        <v>377</v>
      </c>
      <c r="C152" s="54" t="s">
        <v>57</v>
      </c>
      <c r="H152" t="str">
        <f t="shared" si="2"/>
        <v>Pass</v>
      </c>
    </row>
    <row r="153" spans="1:8">
      <c r="A153" s="71" t="s">
        <v>378</v>
      </c>
      <c r="B153" s="71" t="s">
        <v>379</v>
      </c>
      <c r="C153" s="54" t="s">
        <v>59</v>
      </c>
      <c r="H153" t="str">
        <f t="shared" si="2"/>
        <v>Fail</v>
      </c>
    </row>
    <row r="154" spans="1:8">
      <c r="A154" s="72" t="s">
        <v>380</v>
      </c>
      <c r="B154" s="72" t="s">
        <v>381</v>
      </c>
      <c r="H154" t="str">
        <f t="shared" si="2"/>
        <v/>
      </c>
    </row>
    <row r="155" spans="1:8">
      <c r="A155" s="71" t="s">
        <v>382</v>
      </c>
      <c r="B155" s="71" t="s">
        <v>383</v>
      </c>
      <c r="C155" s="54" t="s">
        <v>57</v>
      </c>
      <c r="H155" t="str">
        <f t="shared" si="2"/>
        <v>Pass</v>
      </c>
    </row>
    <row r="156" spans="1:8">
      <c r="A156" s="71" t="s">
        <v>384</v>
      </c>
      <c r="B156" s="71" t="s">
        <v>385</v>
      </c>
      <c r="C156" s="54" t="s">
        <v>57</v>
      </c>
      <c r="H156" t="str">
        <f t="shared" si="2"/>
        <v>Pass</v>
      </c>
    </row>
    <row r="157" spans="1:8">
      <c r="A157" s="71" t="s">
        <v>386</v>
      </c>
      <c r="B157" s="71" t="s">
        <v>387</v>
      </c>
      <c r="C157" s="54" t="s">
        <v>59</v>
      </c>
      <c r="H157" t="str">
        <f t="shared" si="2"/>
        <v>Fail</v>
      </c>
    </row>
    <row r="158" spans="1:8">
      <c r="A158" s="71" t="s">
        <v>388</v>
      </c>
      <c r="B158" s="71" t="s">
        <v>389</v>
      </c>
      <c r="C158" s="54" t="s">
        <v>57</v>
      </c>
      <c r="H158" t="str">
        <f t="shared" si="2"/>
        <v>Pass</v>
      </c>
    </row>
    <row r="159" spans="1:8">
      <c r="A159" s="71" t="s">
        <v>390</v>
      </c>
      <c r="B159" s="71" t="s">
        <v>391</v>
      </c>
      <c r="D159" s="54" t="s">
        <v>57</v>
      </c>
      <c r="H159" t="str">
        <f t="shared" si="2"/>
        <v>Pass</v>
      </c>
    </row>
    <row r="160" spans="1:8">
      <c r="A160" s="71" t="s">
        <v>392</v>
      </c>
      <c r="B160" s="71" t="s">
        <v>393</v>
      </c>
      <c r="D160" s="54" t="s">
        <v>57</v>
      </c>
      <c r="H160" t="str">
        <f t="shared" si="2"/>
        <v>Pass</v>
      </c>
    </row>
    <row r="161" spans="1:8">
      <c r="A161" s="71" t="s">
        <v>394</v>
      </c>
      <c r="B161" s="71" t="s">
        <v>395</v>
      </c>
      <c r="D161" s="54" t="s">
        <v>57</v>
      </c>
      <c r="H161" t="str">
        <f t="shared" si="2"/>
        <v>Pass</v>
      </c>
    </row>
    <row r="162" spans="1:8">
      <c r="A162" s="71" t="s">
        <v>396</v>
      </c>
      <c r="B162" s="71" t="s">
        <v>397</v>
      </c>
      <c r="D162" s="54" t="s">
        <v>57</v>
      </c>
      <c r="H162" t="str">
        <f t="shared" si="2"/>
        <v>Pass</v>
      </c>
    </row>
    <row r="163" spans="1:8">
      <c r="A163" s="71" t="s">
        <v>398</v>
      </c>
      <c r="B163" s="71" t="s">
        <v>399</v>
      </c>
      <c r="D163" s="54" t="s">
        <v>62</v>
      </c>
      <c r="H163" t="str">
        <f t="shared" si="2"/>
        <v>NA</v>
      </c>
    </row>
    <row r="164" spans="1:8">
      <c r="A164" s="71" t="s">
        <v>400</v>
      </c>
      <c r="B164" s="71" t="s">
        <v>401</v>
      </c>
      <c r="D164" s="54" t="s">
        <v>59</v>
      </c>
      <c r="H164" t="str">
        <f t="shared" si="2"/>
        <v>Fail</v>
      </c>
    </row>
    <row r="165" spans="1:8">
      <c r="A165" s="54" t="s">
        <v>402</v>
      </c>
      <c r="B165" s="54" t="s">
        <v>403</v>
      </c>
      <c r="H165" t="str">
        <f t="shared" si="2"/>
        <v/>
      </c>
    </row>
    <row r="166" spans="1:8">
      <c r="A166" s="54" t="s">
        <v>404</v>
      </c>
      <c r="B166" s="54" t="s">
        <v>405</v>
      </c>
      <c r="H166" t="str">
        <f t="shared" si="2"/>
        <v/>
      </c>
    </row>
    <row r="167" spans="1:8">
      <c r="A167" s="54" t="s">
        <v>406</v>
      </c>
      <c r="B167" s="54" t="s">
        <v>407</v>
      </c>
      <c r="H167" t="str">
        <f t="shared" si="2"/>
        <v/>
      </c>
    </row>
    <row r="168" spans="1:8">
      <c r="A168" s="54" t="s">
        <v>408</v>
      </c>
      <c r="B168" s="54" t="s">
        <v>409</v>
      </c>
      <c r="H168" t="str">
        <f t="shared" si="2"/>
        <v/>
      </c>
    </row>
    <row r="169" spans="1:8">
      <c r="A169" s="54" t="s">
        <v>410</v>
      </c>
      <c r="B169" s="54" t="s">
        <v>411</v>
      </c>
      <c r="H169" t="str">
        <f t="shared" si="2"/>
        <v/>
      </c>
    </row>
    <row r="170" spans="1:8">
      <c r="A170" s="54" t="s">
        <v>412</v>
      </c>
      <c r="B170" s="54" t="s">
        <v>413</v>
      </c>
      <c r="H170" t="str">
        <f t="shared" si="2"/>
        <v/>
      </c>
    </row>
    <row r="171" spans="1:8">
      <c r="A171" s="54" t="s">
        <v>414</v>
      </c>
      <c r="B171" s="54" t="s">
        <v>415</v>
      </c>
      <c r="H171" t="str">
        <f t="shared" si="2"/>
        <v/>
      </c>
    </row>
    <row r="172" spans="1:8">
      <c r="A172" s="54" t="s">
        <v>416</v>
      </c>
      <c r="B172" s="54" t="s">
        <v>417</v>
      </c>
      <c r="H172" t="str">
        <f t="shared" si="2"/>
        <v/>
      </c>
    </row>
    <row r="173" spans="1:8">
      <c r="A173" s="54" t="s">
        <v>418</v>
      </c>
      <c r="B173" s="54" t="s">
        <v>419</v>
      </c>
      <c r="H173" t="str">
        <f t="shared" si="2"/>
        <v/>
      </c>
    </row>
    <row r="174" spans="1:8">
      <c r="A174" s="54" t="s">
        <v>420</v>
      </c>
      <c r="B174" s="54" t="s">
        <v>421</v>
      </c>
      <c r="H174" t="str">
        <f t="shared" si="2"/>
        <v/>
      </c>
    </row>
    <row r="175" spans="1:8">
      <c r="A175" s="54" t="s">
        <v>422</v>
      </c>
      <c r="B175" s="54" t="s">
        <v>423</v>
      </c>
      <c r="H175" t="str">
        <f t="shared" si="2"/>
        <v/>
      </c>
    </row>
    <row r="176" spans="1:8">
      <c r="A176" s="54" t="s">
        <v>424</v>
      </c>
      <c r="B176" s="54" t="s">
        <v>425</v>
      </c>
      <c r="H176" t="str">
        <f t="shared" si="2"/>
        <v/>
      </c>
    </row>
    <row r="177" spans="1:8">
      <c r="A177" s="54" t="s">
        <v>426</v>
      </c>
      <c r="B177" s="54" t="s">
        <v>427</v>
      </c>
      <c r="H177" t="str">
        <f t="shared" si="2"/>
        <v/>
      </c>
    </row>
    <row r="178" spans="1:8">
      <c r="A178" s="54" t="s">
        <v>428</v>
      </c>
      <c r="B178" s="54" t="s">
        <v>429</v>
      </c>
      <c r="H178" t="str">
        <f t="shared" si="2"/>
        <v/>
      </c>
    </row>
    <row r="179" spans="1:8">
      <c r="A179" s="54" t="s">
        <v>430</v>
      </c>
      <c r="B179" s="54" t="s">
        <v>431</v>
      </c>
      <c r="H179" t="str">
        <f t="shared" si="2"/>
        <v/>
      </c>
    </row>
    <row r="180" spans="1:8">
      <c r="A180" s="54" t="s">
        <v>432</v>
      </c>
      <c r="B180" s="54" t="s">
        <v>433</v>
      </c>
      <c r="H180" t="str">
        <f t="shared" si="2"/>
        <v/>
      </c>
    </row>
    <row r="181" spans="1:8">
      <c r="A181" s="54" t="s">
        <v>434</v>
      </c>
      <c r="B181" s="54" t="s">
        <v>435</v>
      </c>
      <c r="H181" t="str">
        <f t="shared" si="2"/>
        <v/>
      </c>
    </row>
    <row r="182" spans="1:8">
      <c r="A182" s="54" t="s">
        <v>436</v>
      </c>
      <c r="B182" s="54" t="s">
        <v>437</v>
      </c>
      <c r="H182" t="str">
        <f t="shared" si="2"/>
        <v/>
      </c>
    </row>
    <row r="183" spans="1:8">
      <c r="A183" s="54" t="s">
        <v>438</v>
      </c>
      <c r="B183" s="54" t="s">
        <v>439</v>
      </c>
      <c r="H183" t="str">
        <f t="shared" si="2"/>
        <v/>
      </c>
    </row>
    <row r="184" spans="1:8">
      <c r="A184" s="71" t="s">
        <v>440</v>
      </c>
      <c r="B184" s="71" t="s">
        <v>441</v>
      </c>
      <c r="D184" s="54" t="s">
        <v>59</v>
      </c>
      <c r="H184" t="str">
        <f t="shared" si="2"/>
        <v>Fail</v>
      </c>
    </row>
    <row r="185" spans="1:8">
      <c r="A185" s="54" t="s">
        <v>442</v>
      </c>
      <c r="B185" s="54" t="s">
        <v>443</v>
      </c>
      <c r="H185" t="str">
        <f t="shared" si="2"/>
        <v/>
      </c>
    </row>
    <row r="186" spans="1:8">
      <c r="A186" s="54" t="s">
        <v>444</v>
      </c>
      <c r="B186" s="54" t="s">
        <v>445</v>
      </c>
      <c r="H186" t="str">
        <f t="shared" si="2"/>
        <v/>
      </c>
    </row>
    <row r="187" spans="1:8">
      <c r="A187" s="54" t="s">
        <v>446</v>
      </c>
      <c r="B187" s="54" t="s">
        <v>447</v>
      </c>
      <c r="H187" t="str">
        <f t="shared" si="2"/>
        <v/>
      </c>
    </row>
    <row r="188" spans="1:8">
      <c r="A188" s="54" t="s">
        <v>448</v>
      </c>
      <c r="B188" s="54" t="s">
        <v>449</v>
      </c>
      <c r="H188" t="str">
        <f t="shared" si="2"/>
        <v/>
      </c>
    </row>
    <row r="189" spans="1:8">
      <c r="A189" s="54" t="s">
        <v>450</v>
      </c>
      <c r="B189" s="54" t="s">
        <v>451</v>
      </c>
      <c r="H189" t="str">
        <f t="shared" si="2"/>
        <v/>
      </c>
    </row>
    <row r="190" spans="1:8">
      <c r="A190" s="54" t="s">
        <v>452</v>
      </c>
      <c r="B190" s="54" t="s">
        <v>453</v>
      </c>
      <c r="H190" t="str">
        <f t="shared" si="2"/>
        <v/>
      </c>
    </row>
    <row r="191" spans="1:8">
      <c r="A191" s="54" t="s">
        <v>454</v>
      </c>
      <c r="B191" s="54" t="s">
        <v>455</v>
      </c>
      <c r="H191" t="str">
        <f t="shared" si="2"/>
        <v/>
      </c>
    </row>
    <row r="192" spans="1:8">
      <c r="A192" s="54" t="s">
        <v>456</v>
      </c>
      <c r="B192" s="54" t="s">
        <v>457</v>
      </c>
      <c r="H192" t="str">
        <f t="shared" si="2"/>
        <v/>
      </c>
    </row>
    <row r="193" spans="1:8">
      <c r="A193" s="54" t="s">
        <v>458</v>
      </c>
      <c r="B193" s="54" t="s">
        <v>459</v>
      </c>
      <c r="H193" t="str">
        <f t="shared" si="2"/>
        <v/>
      </c>
    </row>
    <row r="194" spans="1:8">
      <c r="A194" s="54" t="s">
        <v>460</v>
      </c>
      <c r="B194" s="54" t="s">
        <v>461</v>
      </c>
      <c r="H194" t="str">
        <f t="shared" si="2"/>
        <v/>
      </c>
    </row>
    <row r="195" spans="1:8">
      <c r="A195" s="54" t="s">
        <v>462</v>
      </c>
      <c r="B195" s="54" t="s">
        <v>463</v>
      </c>
      <c r="H195" t="str">
        <f t="shared" si="2"/>
        <v/>
      </c>
    </row>
    <row r="196" spans="1:8">
      <c r="A196" s="54" t="s">
        <v>464</v>
      </c>
      <c r="B196" s="54" t="s">
        <v>465</v>
      </c>
      <c r="H196" t="str">
        <f t="shared" si="2"/>
        <v/>
      </c>
    </row>
    <row r="197" spans="1:8">
      <c r="A197" s="54" t="s">
        <v>466</v>
      </c>
      <c r="B197" s="54" t="s">
        <v>467</v>
      </c>
      <c r="H197" t="str">
        <f t="shared" si="2"/>
        <v/>
      </c>
    </row>
    <row r="198" spans="1:8">
      <c r="A198" s="54" t="s">
        <v>468</v>
      </c>
      <c r="B198" s="54" t="s">
        <v>469</v>
      </c>
      <c r="H198" t="str">
        <f t="shared" si="2"/>
        <v/>
      </c>
    </row>
    <row r="199" spans="1:8">
      <c r="A199" s="54" t="s">
        <v>470</v>
      </c>
      <c r="B199" s="54" t="s">
        <v>471</v>
      </c>
      <c r="H199" t="str">
        <f t="shared" ref="H199:H262" si="3">IF(G199="",IF(F199="",IF(E199="",IF(D199="",IF(C199="","",C199),D199),E199),F199),G199)</f>
        <v/>
      </c>
    </row>
    <row r="200" spans="1:8">
      <c r="A200" s="54" t="s">
        <v>472</v>
      </c>
      <c r="B200" s="54" t="s">
        <v>473</v>
      </c>
      <c r="H200" t="str">
        <f t="shared" si="3"/>
        <v/>
      </c>
    </row>
    <row r="201" spans="1:8">
      <c r="A201" s="54" t="s">
        <v>474</v>
      </c>
      <c r="B201" s="54" t="s">
        <v>475</v>
      </c>
      <c r="H201" t="str">
        <f t="shared" si="3"/>
        <v/>
      </c>
    </row>
    <row r="202" spans="1:8">
      <c r="A202" s="54" t="s">
        <v>476</v>
      </c>
      <c r="B202" s="54" t="s">
        <v>477</v>
      </c>
      <c r="H202" t="str">
        <f t="shared" si="3"/>
        <v/>
      </c>
    </row>
    <row r="203" spans="1:8">
      <c r="A203" s="54" t="s">
        <v>478</v>
      </c>
      <c r="B203" s="54" t="s">
        <v>479</v>
      </c>
      <c r="H203" t="str">
        <f t="shared" si="3"/>
        <v/>
      </c>
    </row>
    <row r="204" spans="1:8">
      <c r="A204" s="54" t="s">
        <v>480</v>
      </c>
      <c r="B204" s="54" t="s">
        <v>481</v>
      </c>
      <c r="H204" t="str">
        <f t="shared" si="3"/>
        <v/>
      </c>
    </row>
    <row r="205" spans="1:8">
      <c r="A205" s="54" t="s">
        <v>482</v>
      </c>
      <c r="B205" s="54" t="s">
        <v>483</v>
      </c>
      <c r="H205" t="str">
        <f t="shared" si="3"/>
        <v/>
      </c>
    </row>
    <row r="206" spans="1:8">
      <c r="A206" s="54" t="s">
        <v>484</v>
      </c>
      <c r="B206" s="54" t="s">
        <v>485</v>
      </c>
      <c r="H206" t="str">
        <f t="shared" si="3"/>
        <v/>
      </c>
    </row>
    <row r="207" spans="1:8">
      <c r="A207" s="54" t="s">
        <v>486</v>
      </c>
      <c r="B207" s="54" t="s">
        <v>487</v>
      </c>
      <c r="H207" t="str">
        <f t="shared" si="3"/>
        <v/>
      </c>
    </row>
    <row r="208" spans="1:8">
      <c r="A208" s="54" t="s">
        <v>488</v>
      </c>
      <c r="B208" s="54" t="s">
        <v>489</v>
      </c>
      <c r="H208" t="str">
        <f t="shared" si="3"/>
        <v/>
      </c>
    </row>
    <row r="209" spans="1:8">
      <c r="A209" s="54" t="s">
        <v>490</v>
      </c>
      <c r="B209" s="54" t="s">
        <v>491</v>
      </c>
      <c r="H209" t="str">
        <f t="shared" si="3"/>
        <v/>
      </c>
    </row>
    <row r="210" spans="1:8">
      <c r="A210" s="54" t="s">
        <v>492</v>
      </c>
      <c r="B210" s="54" t="s">
        <v>493</v>
      </c>
      <c r="H210" t="str">
        <f t="shared" si="3"/>
        <v/>
      </c>
    </row>
    <row r="211" spans="1:8">
      <c r="A211" s="54" t="s">
        <v>494</v>
      </c>
      <c r="B211" s="54" t="s">
        <v>495</v>
      </c>
      <c r="H211" t="str">
        <f t="shared" si="3"/>
        <v/>
      </c>
    </row>
    <row r="212" spans="1:8">
      <c r="A212" s="54" t="s">
        <v>496</v>
      </c>
      <c r="B212" s="54" t="s">
        <v>497</v>
      </c>
      <c r="H212" t="str">
        <f t="shared" si="3"/>
        <v/>
      </c>
    </row>
    <row r="213" spans="1:8">
      <c r="A213" s="54" t="s">
        <v>498</v>
      </c>
      <c r="B213" s="54" t="s">
        <v>499</v>
      </c>
      <c r="H213" t="str">
        <f t="shared" si="3"/>
        <v/>
      </c>
    </row>
    <row r="214" spans="1:8">
      <c r="A214" s="54" t="s">
        <v>500</v>
      </c>
      <c r="B214" s="54" t="s">
        <v>501</v>
      </c>
      <c r="H214" t="str">
        <f t="shared" si="3"/>
        <v/>
      </c>
    </row>
    <row r="215" spans="1:8">
      <c r="A215" s="54" t="s">
        <v>502</v>
      </c>
      <c r="B215" s="54" t="s">
        <v>503</v>
      </c>
      <c r="H215" t="str">
        <f t="shared" si="3"/>
        <v/>
      </c>
    </row>
    <row r="216" spans="1:8">
      <c r="A216" s="54" t="s">
        <v>504</v>
      </c>
      <c r="B216" s="54" t="s">
        <v>505</v>
      </c>
      <c r="H216" t="str">
        <f t="shared" si="3"/>
        <v/>
      </c>
    </row>
    <row r="217" spans="1:8">
      <c r="A217" s="54" t="s">
        <v>506</v>
      </c>
      <c r="B217" s="54" t="s">
        <v>507</v>
      </c>
      <c r="H217" t="str">
        <f t="shared" si="3"/>
        <v/>
      </c>
    </row>
    <row r="218" spans="1:8">
      <c r="A218" s="54" t="s">
        <v>508</v>
      </c>
      <c r="B218" s="54" t="s">
        <v>509</v>
      </c>
      <c r="H218" t="str">
        <f t="shared" si="3"/>
        <v/>
      </c>
    </row>
    <row r="219" spans="1:8">
      <c r="A219" s="54" t="s">
        <v>510</v>
      </c>
      <c r="B219" s="54" t="s">
        <v>511</v>
      </c>
      <c r="H219" t="str">
        <f t="shared" si="3"/>
        <v/>
      </c>
    </row>
    <row r="220" spans="1:8">
      <c r="A220" s="54" t="s">
        <v>512</v>
      </c>
      <c r="B220" s="54" t="s">
        <v>513</v>
      </c>
      <c r="H220" t="str">
        <f t="shared" si="3"/>
        <v/>
      </c>
    </row>
    <row r="221" spans="1:8">
      <c r="A221" s="54" t="s">
        <v>514</v>
      </c>
      <c r="B221" s="54" t="s">
        <v>515</v>
      </c>
      <c r="H221" t="str">
        <f t="shared" si="3"/>
        <v/>
      </c>
    </row>
    <row r="222" spans="1:8">
      <c r="A222" s="54" t="s">
        <v>516</v>
      </c>
      <c r="B222" s="54" t="s">
        <v>517</v>
      </c>
      <c r="H222" t="str">
        <f t="shared" si="3"/>
        <v/>
      </c>
    </row>
    <row r="223" spans="1:8">
      <c r="A223" s="54" t="s">
        <v>518</v>
      </c>
      <c r="B223" s="54" t="s">
        <v>519</v>
      </c>
      <c r="H223" t="str">
        <f t="shared" si="3"/>
        <v/>
      </c>
    </row>
    <row r="224" spans="1:8">
      <c r="A224" s="54" t="s">
        <v>520</v>
      </c>
      <c r="B224" s="54" t="s">
        <v>521</v>
      </c>
      <c r="H224" t="str">
        <f t="shared" si="3"/>
        <v/>
      </c>
    </row>
    <row r="225" spans="1:8">
      <c r="A225" s="54" t="s">
        <v>522</v>
      </c>
      <c r="B225" s="54" t="s">
        <v>523</v>
      </c>
      <c r="H225" t="str">
        <f t="shared" si="3"/>
        <v/>
      </c>
    </row>
    <row r="226" spans="1:8">
      <c r="A226" s="54" t="s">
        <v>524</v>
      </c>
      <c r="B226" s="54" t="s">
        <v>525</v>
      </c>
      <c r="H226" t="str">
        <f t="shared" si="3"/>
        <v/>
      </c>
    </row>
    <row r="227" spans="1:8">
      <c r="A227" s="54" t="s">
        <v>526</v>
      </c>
      <c r="B227" s="54" t="s">
        <v>527</v>
      </c>
      <c r="H227" t="str">
        <f t="shared" si="3"/>
        <v/>
      </c>
    </row>
    <row r="228" spans="1:8">
      <c r="A228" s="54" t="s">
        <v>528</v>
      </c>
      <c r="B228" s="54" t="s">
        <v>529</v>
      </c>
      <c r="H228" t="str">
        <f t="shared" si="3"/>
        <v/>
      </c>
    </row>
    <row r="229" spans="1:8">
      <c r="A229" s="54" t="s">
        <v>530</v>
      </c>
      <c r="B229" s="54" t="s">
        <v>531</v>
      </c>
      <c r="H229" t="str">
        <f t="shared" si="3"/>
        <v/>
      </c>
    </row>
    <row r="230" spans="1:8">
      <c r="A230" s="54" t="s">
        <v>532</v>
      </c>
      <c r="B230" s="54" t="s">
        <v>533</v>
      </c>
      <c r="H230" t="str">
        <f t="shared" si="3"/>
        <v/>
      </c>
    </row>
    <row r="231" spans="1:8">
      <c r="A231" s="54" t="s">
        <v>534</v>
      </c>
      <c r="B231" s="54" t="s">
        <v>535</v>
      </c>
      <c r="H231" t="str">
        <f t="shared" si="3"/>
        <v/>
      </c>
    </row>
    <row r="232" spans="1:8">
      <c r="A232" s="54" t="s">
        <v>536</v>
      </c>
      <c r="B232" s="54" t="s">
        <v>537</v>
      </c>
      <c r="H232" t="str">
        <f t="shared" si="3"/>
        <v/>
      </c>
    </row>
    <row r="233" spans="1:8">
      <c r="A233" s="54" t="s">
        <v>538</v>
      </c>
      <c r="B233" s="54" t="s">
        <v>539</v>
      </c>
      <c r="H233" t="str">
        <f t="shared" si="3"/>
        <v/>
      </c>
    </row>
    <row r="234" spans="1:8">
      <c r="A234" s="54" t="s">
        <v>540</v>
      </c>
      <c r="B234" s="54" t="s">
        <v>541</v>
      </c>
      <c r="H234" t="str">
        <f t="shared" si="3"/>
        <v/>
      </c>
    </row>
    <row r="235" spans="1:8">
      <c r="A235" s="54" t="s">
        <v>542</v>
      </c>
      <c r="B235" s="54" t="s">
        <v>543</v>
      </c>
      <c r="H235" t="str">
        <f t="shared" si="3"/>
        <v/>
      </c>
    </row>
    <row r="236" spans="1:8">
      <c r="A236" s="54" t="s">
        <v>544</v>
      </c>
      <c r="B236" s="54" t="s">
        <v>545</v>
      </c>
      <c r="H236" t="str">
        <f t="shared" si="3"/>
        <v/>
      </c>
    </row>
    <row r="237" spans="1:8">
      <c r="A237" s="54" t="s">
        <v>546</v>
      </c>
      <c r="B237" s="54" t="s">
        <v>547</v>
      </c>
      <c r="H237" t="str">
        <f t="shared" si="3"/>
        <v/>
      </c>
    </row>
    <row r="238" spans="1:8">
      <c r="A238" s="54" t="s">
        <v>548</v>
      </c>
      <c r="B238" s="54" t="s">
        <v>549</v>
      </c>
      <c r="H238" t="str">
        <f t="shared" si="3"/>
        <v/>
      </c>
    </row>
    <row r="239" spans="1:8">
      <c r="A239" s="54" t="s">
        <v>550</v>
      </c>
      <c r="B239" s="54" t="s">
        <v>551</v>
      </c>
      <c r="H239" t="str">
        <f t="shared" si="3"/>
        <v/>
      </c>
    </row>
    <row r="240" spans="1:8">
      <c r="A240" s="54" t="s">
        <v>552</v>
      </c>
      <c r="B240" s="54" t="s">
        <v>553</v>
      </c>
      <c r="H240" t="str">
        <f t="shared" si="3"/>
        <v/>
      </c>
    </row>
    <row r="241" spans="1:8">
      <c r="A241" s="54" t="s">
        <v>554</v>
      </c>
      <c r="B241" s="54" t="s">
        <v>555</v>
      </c>
      <c r="H241" t="str">
        <f t="shared" si="3"/>
        <v/>
      </c>
    </row>
    <row r="242" spans="1:8">
      <c r="A242" s="54" t="s">
        <v>556</v>
      </c>
      <c r="B242" s="54" t="s">
        <v>557</v>
      </c>
      <c r="H242" t="str">
        <f t="shared" si="3"/>
        <v/>
      </c>
    </row>
    <row r="243" spans="1:8">
      <c r="A243" s="54" t="s">
        <v>558</v>
      </c>
      <c r="B243" s="54" t="s">
        <v>559</v>
      </c>
      <c r="H243" t="str">
        <f t="shared" si="3"/>
        <v/>
      </c>
    </row>
    <row r="244" spans="1:8">
      <c r="A244" s="54" t="s">
        <v>560</v>
      </c>
      <c r="B244" s="54" t="s">
        <v>561</v>
      </c>
      <c r="H244" t="str">
        <f t="shared" si="3"/>
        <v/>
      </c>
    </row>
    <row r="245" spans="1:8">
      <c r="A245" s="54" t="s">
        <v>562</v>
      </c>
      <c r="B245" s="54" t="s">
        <v>563</v>
      </c>
      <c r="H245" t="str">
        <f t="shared" si="3"/>
        <v/>
      </c>
    </row>
    <row r="246" spans="1:8">
      <c r="A246" s="54" t="s">
        <v>564</v>
      </c>
      <c r="B246" s="54" t="s">
        <v>565</v>
      </c>
      <c r="H246" t="str">
        <f t="shared" si="3"/>
        <v/>
      </c>
    </row>
    <row r="247" spans="1:8">
      <c r="A247" s="54" t="s">
        <v>566</v>
      </c>
      <c r="B247" s="54" t="s">
        <v>567</v>
      </c>
      <c r="H247" t="str">
        <f t="shared" si="3"/>
        <v/>
      </c>
    </row>
    <row r="248" spans="1:8">
      <c r="A248" s="54" t="s">
        <v>568</v>
      </c>
      <c r="B248" s="54" t="s">
        <v>569</v>
      </c>
      <c r="H248" t="str">
        <f t="shared" si="3"/>
        <v/>
      </c>
    </row>
    <row r="249" spans="1:8">
      <c r="A249" s="54" t="s">
        <v>570</v>
      </c>
      <c r="B249" s="54" t="s">
        <v>571</v>
      </c>
      <c r="H249" t="str">
        <f t="shared" si="3"/>
        <v/>
      </c>
    </row>
    <row r="250" spans="1:8">
      <c r="A250" s="54" t="s">
        <v>572</v>
      </c>
      <c r="B250" s="54" t="s">
        <v>573</v>
      </c>
      <c r="H250" t="str">
        <f t="shared" si="3"/>
        <v/>
      </c>
    </row>
    <row r="251" spans="1:8">
      <c r="A251" s="54" t="s">
        <v>574</v>
      </c>
      <c r="B251" s="54" t="s">
        <v>575</v>
      </c>
      <c r="H251" t="str">
        <f t="shared" si="3"/>
        <v/>
      </c>
    </row>
    <row r="252" spans="1:8">
      <c r="A252" s="54" t="s">
        <v>576</v>
      </c>
      <c r="B252" s="54" t="s">
        <v>577</v>
      </c>
      <c r="H252" t="str">
        <f t="shared" si="3"/>
        <v/>
      </c>
    </row>
    <row r="253" spans="1:8">
      <c r="A253" s="54" t="s">
        <v>578</v>
      </c>
      <c r="B253" s="54" t="s">
        <v>579</v>
      </c>
      <c r="H253" t="str">
        <f t="shared" si="3"/>
        <v/>
      </c>
    </row>
    <row r="254" spans="1:8">
      <c r="A254" s="54" t="s">
        <v>580</v>
      </c>
      <c r="B254" s="54" t="s">
        <v>581</v>
      </c>
      <c r="H254" t="str">
        <f t="shared" si="3"/>
        <v/>
      </c>
    </row>
    <row r="255" spans="1:8">
      <c r="A255" s="54" t="s">
        <v>582</v>
      </c>
      <c r="B255" s="54" t="s">
        <v>583</v>
      </c>
      <c r="H255" t="str">
        <f t="shared" si="3"/>
        <v/>
      </c>
    </row>
    <row r="256" spans="1:8">
      <c r="A256" s="54" t="s">
        <v>584</v>
      </c>
      <c r="B256" s="54" t="s">
        <v>585</v>
      </c>
      <c r="H256" t="str">
        <f t="shared" si="3"/>
        <v/>
      </c>
    </row>
    <row r="257" spans="1:8">
      <c r="A257" s="54" t="s">
        <v>586</v>
      </c>
      <c r="B257" s="54" t="s">
        <v>587</v>
      </c>
      <c r="H257" t="str">
        <f t="shared" si="3"/>
        <v/>
      </c>
    </row>
    <row r="258" spans="1:8">
      <c r="A258" s="54" t="s">
        <v>588</v>
      </c>
      <c r="B258" s="54" t="s">
        <v>589</v>
      </c>
      <c r="H258" t="str">
        <f t="shared" si="3"/>
        <v/>
      </c>
    </row>
    <row r="259" spans="1:8">
      <c r="A259" s="54" t="s">
        <v>590</v>
      </c>
      <c r="B259" s="54" t="s">
        <v>591</v>
      </c>
      <c r="H259" t="str">
        <f t="shared" si="3"/>
        <v/>
      </c>
    </row>
    <row r="260" spans="1:8">
      <c r="A260" s="54" t="s">
        <v>592</v>
      </c>
      <c r="B260" s="54" t="s">
        <v>593</v>
      </c>
      <c r="H260" t="str">
        <f t="shared" si="3"/>
        <v/>
      </c>
    </row>
    <row r="261" spans="1:8">
      <c r="A261" s="54" t="s">
        <v>594</v>
      </c>
      <c r="B261" s="54" t="s">
        <v>595</v>
      </c>
      <c r="H261" t="str">
        <f t="shared" si="3"/>
        <v/>
      </c>
    </row>
    <row r="262" spans="1:8">
      <c r="A262" s="54" t="s">
        <v>596</v>
      </c>
      <c r="B262" s="54" t="s">
        <v>597</v>
      </c>
      <c r="H262" t="str">
        <f t="shared" si="3"/>
        <v/>
      </c>
    </row>
    <row r="263" spans="1:8">
      <c r="A263" s="54" t="s">
        <v>598</v>
      </c>
      <c r="B263" s="54" t="s">
        <v>599</v>
      </c>
      <c r="H263" t="str">
        <f t="shared" ref="H263:H325" si="4">IF(G263="",IF(F263="",IF(E263="",IF(D263="",IF(C263="","",C263),D263),E263),F263),G263)</f>
        <v/>
      </c>
    </row>
    <row r="264" spans="1:8">
      <c r="A264" s="54" t="s">
        <v>600</v>
      </c>
      <c r="B264" s="54" t="s">
        <v>601</v>
      </c>
      <c r="H264" t="str">
        <f t="shared" si="4"/>
        <v/>
      </c>
    </row>
    <row r="265" spans="1:8">
      <c r="A265" s="54" t="s">
        <v>602</v>
      </c>
      <c r="B265" s="54" t="s">
        <v>603</v>
      </c>
      <c r="H265" t="str">
        <f t="shared" si="4"/>
        <v/>
      </c>
    </row>
    <row r="266" spans="1:8">
      <c r="A266" s="54" t="s">
        <v>604</v>
      </c>
      <c r="B266" s="54" t="s">
        <v>605</v>
      </c>
      <c r="H266" t="str">
        <f t="shared" si="4"/>
        <v/>
      </c>
    </row>
    <row r="267" spans="1:8">
      <c r="A267" s="54" t="s">
        <v>606</v>
      </c>
      <c r="B267" s="54" t="s">
        <v>607</v>
      </c>
      <c r="H267" t="str">
        <f t="shared" si="4"/>
        <v/>
      </c>
    </row>
    <row r="268" spans="1:8">
      <c r="A268" s="54" t="s">
        <v>608</v>
      </c>
      <c r="B268" s="54" t="s">
        <v>609</v>
      </c>
      <c r="H268" t="str">
        <f t="shared" si="4"/>
        <v/>
      </c>
    </row>
    <row r="269" spans="1:8">
      <c r="A269" s="54" t="s">
        <v>610</v>
      </c>
      <c r="B269" s="54" t="s">
        <v>611</v>
      </c>
      <c r="H269" t="str">
        <f t="shared" si="4"/>
        <v/>
      </c>
    </row>
    <row r="270" spans="1:8">
      <c r="A270" s="54" t="s">
        <v>612</v>
      </c>
      <c r="B270" s="54" t="s">
        <v>613</v>
      </c>
      <c r="H270" t="str">
        <f t="shared" si="4"/>
        <v/>
      </c>
    </row>
    <row r="271" spans="1:8">
      <c r="A271" s="54" t="s">
        <v>614</v>
      </c>
      <c r="B271" s="54" t="s">
        <v>615</v>
      </c>
      <c r="H271" t="str">
        <f t="shared" si="4"/>
        <v/>
      </c>
    </row>
    <row r="272" spans="1:8">
      <c r="A272" s="54" t="s">
        <v>616</v>
      </c>
      <c r="B272" s="54" t="s">
        <v>617</v>
      </c>
      <c r="H272" t="str">
        <f t="shared" si="4"/>
        <v/>
      </c>
    </row>
    <row r="273" spans="1:8">
      <c r="A273" s="54" t="s">
        <v>618</v>
      </c>
      <c r="B273" s="54" t="s">
        <v>619</v>
      </c>
      <c r="H273" t="str">
        <f t="shared" si="4"/>
        <v/>
      </c>
    </row>
    <row r="274" spans="1:8">
      <c r="A274" s="54" t="s">
        <v>620</v>
      </c>
      <c r="B274" s="54" t="s">
        <v>621</v>
      </c>
      <c r="H274" t="str">
        <f t="shared" si="4"/>
        <v/>
      </c>
    </row>
    <row r="275" spans="1:8">
      <c r="A275" s="54" t="s">
        <v>622</v>
      </c>
      <c r="B275" s="54" t="s">
        <v>623</v>
      </c>
      <c r="H275" t="str">
        <f t="shared" si="4"/>
        <v/>
      </c>
    </row>
    <row r="276" spans="1:8">
      <c r="A276" s="54" t="s">
        <v>624</v>
      </c>
      <c r="B276" s="54" t="s">
        <v>625</v>
      </c>
      <c r="H276" t="str">
        <f t="shared" si="4"/>
        <v/>
      </c>
    </row>
    <row r="277" spans="1:8">
      <c r="A277" s="54" t="s">
        <v>626</v>
      </c>
      <c r="B277" s="54" t="s">
        <v>627</v>
      </c>
      <c r="H277" t="str">
        <f t="shared" si="4"/>
        <v/>
      </c>
    </row>
    <row r="278" spans="1:8">
      <c r="A278" s="54" t="s">
        <v>628</v>
      </c>
      <c r="B278" s="54" t="s">
        <v>629</v>
      </c>
      <c r="H278" t="str">
        <f t="shared" si="4"/>
        <v/>
      </c>
    </row>
    <row r="279" spans="1:8">
      <c r="A279" s="54" t="s">
        <v>630</v>
      </c>
      <c r="B279" s="54" t="s">
        <v>631</v>
      </c>
      <c r="H279" t="str">
        <f t="shared" si="4"/>
        <v/>
      </c>
    </row>
    <row r="280" spans="1:8">
      <c r="A280" s="54" t="s">
        <v>632</v>
      </c>
      <c r="B280" s="54" t="s">
        <v>633</v>
      </c>
      <c r="H280" t="str">
        <f t="shared" si="4"/>
        <v/>
      </c>
    </row>
    <row r="281" spans="1:8">
      <c r="A281" s="54" t="s">
        <v>634</v>
      </c>
      <c r="B281" s="54" t="s">
        <v>635</v>
      </c>
      <c r="H281" t="str">
        <f t="shared" si="4"/>
        <v/>
      </c>
    </row>
    <row r="282" spans="1:8">
      <c r="A282" s="54" t="s">
        <v>636</v>
      </c>
      <c r="B282" s="54" t="s">
        <v>637</v>
      </c>
      <c r="H282" t="str">
        <f t="shared" si="4"/>
        <v/>
      </c>
    </row>
    <row r="283" spans="1:8">
      <c r="A283" s="54" t="s">
        <v>638</v>
      </c>
      <c r="B283" s="54" t="s">
        <v>639</v>
      </c>
      <c r="H283" t="str">
        <f t="shared" si="4"/>
        <v/>
      </c>
    </row>
    <row r="284" spans="1:8">
      <c r="A284" s="54" t="s">
        <v>640</v>
      </c>
      <c r="B284" s="54" t="s">
        <v>641</v>
      </c>
      <c r="H284" t="str">
        <f t="shared" si="4"/>
        <v/>
      </c>
    </row>
    <row r="285" spans="1:8">
      <c r="A285" s="54" t="s">
        <v>642</v>
      </c>
      <c r="B285" s="54" t="s">
        <v>643</v>
      </c>
      <c r="H285" t="str">
        <f t="shared" si="4"/>
        <v/>
      </c>
    </row>
    <row r="286" spans="1:8">
      <c r="A286" s="54" t="s">
        <v>644</v>
      </c>
      <c r="B286" s="54" t="s">
        <v>645</v>
      </c>
      <c r="H286" t="str">
        <f t="shared" si="4"/>
        <v/>
      </c>
    </row>
    <row r="287" spans="1:8">
      <c r="A287" s="54" t="s">
        <v>646</v>
      </c>
      <c r="B287" s="54" t="s">
        <v>647</v>
      </c>
      <c r="H287" t="str">
        <f t="shared" si="4"/>
        <v/>
      </c>
    </row>
    <row r="288" spans="1:8">
      <c r="A288" s="54" t="s">
        <v>648</v>
      </c>
      <c r="B288" s="54" t="s">
        <v>649</v>
      </c>
      <c r="H288" t="str">
        <f t="shared" si="4"/>
        <v/>
      </c>
    </row>
    <row r="289" spans="1:8">
      <c r="A289" s="54" t="s">
        <v>650</v>
      </c>
      <c r="B289" s="54" t="s">
        <v>651</v>
      </c>
      <c r="H289" t="str">
        <f t="shared" si="4"/>
        <v/>
      </c>
    </row>
    <row r="290" spans="1:8">
      <c r="A290" s="54" t="s">
        <v>652</v>
      </c>
      <c r="B290" s="54" t="s">
        <v>653</v>
      </c>
      <c r="H290" t="str">
        <f t="shared" si="4"/>
        <v/>
      </c>
    </row>
    <row r="291" spans="1:8">
      <c r="A291" s="54" t="s">
        <v>654</v>
      </c>
      <c r="B291" s="54" t="s">
        <v>655</v>
      </c>
      <c r="H291" t="str">
        <f t="shared" si="4"/>
        <v/>
      </c>
    </row>
    <row r="292" spans="1:8">
      <c r="A292" s="54" t="s">
        <v>656</v>
      </c>
      <c r="B292" s="54" t="s">
        <v>657</v>
      </c>
      <c r="H292" t="str">
        <f t="shared" si="4"/>
        <v/>
      </c>
    </row>
    <row r="293" spans="1:8">
      <c r="A293" s="54" t="s">
        <v>658</v>
      </c>
      <c r="B293" s="54" t="s">
        <v>659</v>
      </c>
      <c r="H293" t="str">
        <f t="shared" si="4"/>
        <v/>
      </c>
    </row>
    <row r="294" spans="1:8">
      <c r="A294" s="54" t="s">
        <v>660</v>
      </c>
      <c r="B294" s="54" t="s">
        <v>661</v>
      </c>
      <c r="H294" t="str">
        <f t="shared" si="4"/>
        <v/>
      </c>
    </row>
    <row r="295" spans="1:8">
      <c r="A295" s="54" t="s">
        <v>662</v>
      </c>
      <c r="B295" s="54" t="s">
        <v>663</v>
      </c>
      <c r="H295" t="str">
        <f t="shared" si="4"/>
        <v/>
      </c>
    </row>
    <row r="296" spans="1:8">
      <c r="A296" s="54" t="s">
        <v>664</v>
      </c>
      <c r="B296" s="54" t="s">
        <v>665</v>
      </c>
      <c r="C296" s="54" t="s">
        <v>57</v>
      </c>
      <c r="H296" t="str">
        <f t="shared" si="4"/>
        <v>Pass</v>
      </c>
    </row>
    <row r="297" spans="1:8">
      <c r="A297" s="54" t="s">
        <v>666</v>
      </c>
      <c r="B297" s="54" t="s">
        <v>667</v>
      </c>
      <c r="H297" t="str">
        <f t="shared" si="4"/>
        <v/>
      </c>
    </row>
    <row r="298" spans="1:8">
      <c r="A298" s="54" t="s">
        <v>668</v>
      </c>
      <c r="B298" s="54" t="s">
        <v>669</v>
      </c>
      <c r="H298" t="str">
        <f t="shared" si="4"/>
        <v/>
      </c>
    </row>
    <row r="299" spans="1:8">
      <c r="A299" s="54" t="s">
        <v>670</v>
      </c>
      <c r="B299" s="54" t="s">
        <v>671</v>
      </c>
      <c r="H299" t="str">
        <f t="shared" si="4"/>
        <v/>
      </c>
    </row>
    <row r="300" spans="1:8">
      <c r="A300" s="54" t="s">
        <v>672</v>
      </c>
      <c r="B300" s="54" t="s">
        <v>673</v>
      </c>
      <c r="H300" t="str">
        <f t="shared" si="4"/>
        <v/>
      </c>
    </row>
    <row r="301" spans="1:8">
      <c r="A301" s="54" t="s">
        <v>674</v>
      </c>
      <c r="B301" s="54" t="s">
        <v>675</v>
      </c>
      <c r="H301" t="str">
        <f t="shared" si="4"/>
        <v/>
      </c>
    </row>
    <row r="302" spans="1:8">
      <c r="A302" s="54" t="s">
        <v>676</v>
      </c>
      <c r="B302" s="54" t="s">
        <v>677</v>
      </c>
      <c r="H302" t="str">
        <f t="shared" si="4"/>
        <v/>
      </c>
    </row>
    <row r="303" spans="1:8">
      <c r="A303" s="54" t="s">
        <v>678</v>
      </c>
      <c r="B303" s="54" t="s">
        <v>679</v>
      </c>
      <c r="H303" t="str">
        <f t="shared" si="4"/>
        <v/>
      </c>
    </row>
    <row r="304" spans="1:8">
      <c r="A304" s="54" t="s">
        <v>680</v>
      </c>
      <c r="B304" s="54" t="s">
        <v>681</v>
      </c>
      <c r="H304" t="str">
        <f t="shared" si="4"/>
        <v/>
      </c>
    </row>
    <row r="305" spans="1:8">
      <c r="A305" s="54" t="s">
        <v>682</v>
      </c>
      <c r="B305" s="54" t="s">
        <v>683</v>
      </c>
      <c r="H305" t="str">
        <f t="shared" si="4"/>
        <v/>
      </c>
    </row>
    <row r="306" spans="1:8">
      <c r="A306" s="54" t="s">
        <v>684</v>
      </c>
      <c r="B306" s="54" t="s">
        <v>685</v>
      </c>
      <c r="H306" t="str">
        <f t="shared" si="4"/>
        <v/>
      </c>
    </row>
    <row r="307" spans="1:8">
      <c r="A307" s="54" t="s">
        <v>686</v>
      </c>
      <c r="B307" s="54" t="s">
        <v>687</v>
      </c>
      <c r="H307" t="str">
        <f t="shared" si="4"/>
        <v/>
      </c>
    </row>
    <row r="308" spans="1:8">
      <c r="A308" s="54" t="s">
        <v>688</v>
      </c>
      <c r="B308" s="54" t="s">
        <v>689</v>
      </c>
      <c r="H308" t="str">
        <f t="shared" si="4"/>
        <v/>
      </c>
    </row>
    <row r="309" spans="1:8">
      <c r="A309" s="54" t="s">
        <v>690</v>
      </c>
      <c r="B309" s="54" t="s">
        <v>691</v>
      </c>
      <c r="H309" t="str">
        <f t="shared" si="4"/>
        <v/>
      </c>
    </row>
    <row r="310" spans="1:8">
      <c r="A310" s="54" t="s">
        <v>692</v>
      </c>
      <c r="B310" s="54" t="s">
        <v>693</v>
      </c>
      <c r="H310" t="str">
        <f t="shared" si="4"/>
        <v/>
      </c>
    </row>
    <row r="311" spans="1:8">
      <c r="A311" s="54" t="s">
        <v>694</v>
      </c>
      <c r="B311" s="54" t="s">
        <v>695</v>
      </c>
      <c r="H311" t="str">
        <f t="shared" si="4"/>
        <v/>
      </c>
    </row>
    <row r="312" spans="1:8">
      <c r="A312" s="54" t="s">
        <v>696</v>
      </c>
      <c r="B312" s="54" t="s">
        <v>697</v>
      </c>
      <c r="H312" t="str">
        <f t="shared" si="4"/>
        <v/>
      </c>
    </row>
    <row r="313" spans="1:8">
      <c r="A313" s="54" t="s">
        <v>698</v>
      </c>
      <c r="B313" s="54" t="s">
        <v>699</v>
      </c>
      <c r="H313" t="str">
        <f t="shared" si="4"/>
        <v/>
      </c>
    </row>
    <row r="314" spans="1:8">
      <c r="A314" s="54" t="s">
        <v>700</v>
      </c>
      <c r="B314" s="54" t="s">
        <v>701</v>
      </c>
      <c r="H314" t="str">
        <f t="shared" si="4"/>
        <v/>
      </c>
    </row>
    <row r="315" spans="1:8">
      <c r="A315" s="54" t="s">
        <v>702</v>
      </c>
      <c r="B315" s="54" t="s">
        <v>703</v>
      </c>
      <c r="H315" t="str">
        <f t="shared" si="4"/>
        <v/>
      </c>
    </row>
    <row r="316" spans="1:8">
      <c r="A316" s="54" t="s">
        <v>704</v>
      </c>
      <c r="B316" s="54" t="s">
        <v>705</v>
      </c>
      <c r="H316" t="str">
        <f t="shared" si="4"/>
        <v/>
      </c>
    </row>
    <row r="317" spans="1:8">
      <c r="A317" s="54" t="s">
        <v>706</v>
      </c>
      <c r="B317" s="54" t="s">
        <v>707</v>
      </c>
      <c r="H317" t="str">
        <f t="shared" si="4"/>
        <v/>
      </c>
    </row>
    <row r="318" spans="1:8">
      <c r="A318" s="54" t="s">
        <v>708</v>
      </c>
      <c r="B318" s="54" t="s">
        <v>709</v>
      </c>
      <c r="H318" t="str">
        <f t="shared" si="4"/>
        <v/>
      </c>
    </row>
    <row r="319" spans="1:8">
      <c r="A319" s="54" t="s">
        <v>710</v>
      </c>
      <c r="B319" s="54" t="s">
        <v>711</v>
      </c>
      <c r="H319" t="str">
        <f t="shared" si="4"/>
        <v/>
      </c>
    </row>
    <row r="320" spans="1:8">
      <c r="A320" s="54" t="s">
        <v>712</v>
      </c>
      <c r="B320" s="54" t="s">
        <v>713</v>
      </c>
      <c r="H320" t="str">
        <f t="shared" si="4"/>
        <v/>
      </c>
    </row>
    <row r="321" spans="1:8">
      <c r="A321" s="54" t="s">
        <v>714</v>
      </c>
      <c r="B321" s="54" t="s">
        <v>715</v>
      </c>
      <c r="H321" t="str">
        <f t="shared" si="4"/>
        <v/>
      </c>
    </row>
    <row r="322" spans="1:8">
      <c r="A322" s="71" t="s">
        <v>716</v>
      </c>
      <c r="B322" s="71" t="s">
        <v>717</v>
      </c>
      <c r="D322" s="54" t="s">
        <v>59</v>
      </c>
      <c r="H322" t="str">
        <f t="shared" si="4"/>
        <v>Fail</v>
      </c>
    </row>
    <row r="323" spans="1:8">
      <c r="A323" s="54" t="s">
        <v>718</v>
      </c>
      <c r="B323" s="54" t="s">
        <v>719</v>
      </c>
      <c r="H323" t="str">
        <f t="shared" si="4"/>
        <v/>
      </c>
    </row>
    <row r="324" spans="1:8">
      <c r="A324" s="54" t="s">
        <v>720</v>
      </c>
      <c r="B324" s="54" t="s">
        <v>721</v>
      </c>
      <c r="H324" t="str">
        <f t="shared" si="4"/>
        <v/>
      </c>
    </row>
    <row r="325" spans="1:8">
      <c r="A325" s="54" t="s">
        <v>722</v>
      </c>
      <c r="B325" s="54" t="s">
        <v>723</v>
      </c>
      <c r="H325" t="str">
        <f t="shared" si="4"/>
        <v/>
      </c>
    </row>
  </sheetData>
  <autoFilter ref="H1:H325" xr:uid="{00000000-0001-0000-0300-000000000000}"/>
  <phoneticPr fontId="38" type="noConversion"/>
  <conditionalFormatting sqref="C7:C42 C44:C76 C80 C82:C83 C85:C96 C99:C140 C152:C1048576">
    <cfRule type="containsText" dxfId="194" priority="81" stopIfTrue="1" operator="containsText" text="Pass">
      <formula>NOT(ISERROR(SEARCH("Pass",C7)))</formula>
    </cfRule>
    <cfRule type="containsText" dxfId="193" priority="82" stopIfTrue="1" operator="containsText" text="Fail">
      <formula>NOT(ISERROR(SEARCH("Fail",C7)))</formula>
    </cfRule>
    <cfRule type="containsText" dxfId="192" priority="83" stopIfTrue="1" operator="containsText" text=" ">
      <formula>NOT(ISERROR(SEARCH(" ",C7)))</formula>
    </cfRule>
    <cfRule type="containsText" dxfId="191" priority="84" stopIfTrue="1" operator="containsText" text="Block">
      <formula>NOT(ISERROR(SEARCH("Block",C7)))</formula>
    </cfRule>
    <cfRule type="containsText" dxfId="190" priority="85" stopIfTrue="1" operator="containsText" text="N">
      <formula>NOT(ISERROR(SEARCH("N",C7)))</formula>
    </cfRule>
  </conditionalFormatting>
  <conditionalFormatting sqref="D7:D98 D109:D124 D165:D1048576 D127:D158">
    <cfRule type="containsText" dxfId="189" priority="86" stopIfTrue="1" operator="containsText" text="Pass">
      <formula>NOT(ISERROR(SEARCH("Pass",D7)))</formula>
    </cfRule>
    <cfRule type="containsText" dxfId="188" priority="87" stopIfTrue="1" operator="containsText" text="Fail">
      <formula>NOT(ISERROR(SEARCH("Fail",D7)))</formula>
    </cfRule>
    <cfRule type="containsText" dxfId="187" priority="88" stopIfTrue="1" operator="containsText" text=" ">
      <formula>NOT(ISERROR(SEARCH(" ",D7)))</formula>
    </cfRule>
    <cfRule type="containsText" dxfId="186" priority="89" stopIfTrue="1" operator="containsText" text="Block">
      <formula>NOT(ISERROR(SEARCH("Block",D7)))</formula>
    </cfRule>
    <cfRule type="containsText" dxfId="185" priority="90" stopIfTrue="1" operator="containsText" text="N">
      <formula>NOT(ISERROR(SEARCH("N",D7)))</formula>
    </cfRule>
  </conditionalFormatting>
  <conditionalFormatting sqref="E7:E1048576">
    <cfRule type="containsText" dxfId="184" priority="91" stopIfTrue="1" operator="containsText" text="Pass">
      <formula>NOT(ISERROR(SEARCH("Pass",E7)))</formula>
    </cfRule>
    <cfRule type="containsText" dxfId="183" priority="92" stopIfTrue="1" operator="containsText" text="Fail">
      <formula>NOT(ISERROR(SEARCH("Fail",E7)))</formula>
    </cfRule>
    <cfRule type="containsText" dxfId="182" priority="93" stopIfTrue="1" operator="containsText" text=" ">
      <formula>NOT(ISERROR(SEARCH(" ",E7)))</formula>
    </cfRule>
    <cfRule type="containsText" dxfId="181" priority="94" stopIfTrue="1" operator="containsText" text="Block">
      <formula>NOT(ISERROR(SEARCH("Block",E7)))</formula>
    </cfRule>
    <cfRule type="containsText" dxfId="180" priority="95" stopIfTrue="1" operator="containsText" text="N">
      <formula>NOT(ISERROR(SEARCH("N",E7)))</formula>
    </cfRule>
  </conditionalFormatting>
  <conditionalFormatting sqref="F7:F1048576">
    <cfRule type="containsText" dxfId="179" priority="96" stopIfTrue="1" operator="containsText" text="Pass">
      <formula>NOT(ISERROR(SEARCH("Pass",F7)))</formula>
    </cfRule>
    <cfRule type="containsText" dxfId="178" priority="97" stopIfTrue="1" operator="containsText" text="Fail">
      <formula>NOT(ISERROR(SEARCH("Fail",F7)))</formula>
    </cfRule>
    <cfRule type="containsText" dxfId="177" priority="98" stopIfTrue="1" operator="containsText" text=" ">
      <formula>NOT(ISERROR(SEARCH(" ",F7)))</formula>
    </cfRule>
    <cfRule type="containsText" dxfId="176" priority="99" stopIfTrue="1" operator="containsText" text="Block">
      <formula>NOT(ISERROR(SEARCH("Block",F7)))</formula>
    </cfRule>
    <cfRule type="containsText" dxfId="175" priority="100" stopIfTrue="1" operator="containsText" text="N">
      <formula>NOT(ISERROR(SEARCH("N",F7)))</formula>
    </cfRule>
  </conditionalFormatting>
  <conditionalFormatting sqref="G7:G1048576">
    <cfRule type="containsText" dxfId="174" priority="101" stopIfTrue="1" operator="containsText" text="Pass">
      <formula>NOT(ISERROR(SEARCH("Pass",G7)))</formula>
    </cfRule>
    <cfRule type="containsText" dxfId="173" priority="102" stopIfTrue="1" operator="containsText" text="Fail">
      <formula>NOT(ISERROR(SEARCH("Fail",G7)))</formula>
    </cfRule>
    <cfRule type="containsText" dxfId="172" priority="103" stopIfTrue="1" operator="containsText" text=" ">
      <formula>NOT(ISERROR(SEARCH(" ",G7)))</formula>
    </cfRule>
    <cfRule type="containsText" dxfId="171" priority="104" stopIfTrue="1" operator="containsText" text="Block">
      <formula>NOT(ISERROR(SEARCH("Block",G7)))</formula>
    </cfRule>
    <cfRule type="containsText" dxfId="170" priority="105" stopIfTrue="1" operator="containsText" text="N">
      <formula>NOT(ISERROR(SEARCH("N",G7)))</formula>
    </cfRule>
  </conditionalFormatting>
  <conditionalFormatting sqref="H7:H1048576">
    <cfRule type="containsText" dxfId="169" priority="106" stopIfTrue="1" operator="containsText" text="Pass">
      <formula>NOT(ISERROR(SEARCH("Pass",H7)))</formula>
    </cfRule>
    <cfRule type="containsText" dxfId="168" priority="107" stopIfTrue="1" operator="containsText" text="Fail">
      <formula>NOT(ISERROR(SEARCH("Fail",H7)))</formula>
    </cfRule>
    <cfRule type="containsText" dxfId="167" priority="108" stopIfTrue="1" operator="containsText" text=" ">
      <formula>NOT(ISERROR(SEARCH(" ",H7)))</formula>
    </cfRule>
    <cfRule type="containsText" dxfId="166" priority="109" stopIfTrue="1" operator="containsText" text="Block">
      <formula>NOT(ISERROR(SEARCH("Block",H7)))</formula>
    </cfRule>
    <cfRule type="containsText" dxfId="165" priority="110" stopIfTrue="1" operator="containsText" text="N">
      <formula>NOT(ISERROR(SEARCH("N",H7)))</formula>
    </cfRule>
  </conditionalFormatting>
  <conditionalFormatting sqref="C43">
    <cfRule type="containsText" dxfId="164" priority="76" stopIfTrue="1" operator="containsText" text="Pass">
      <formula>NOT(ISERROR(SEARCH("Pass",C43)))</formula>
    </cfRule>
    <cfRule type="containsText" dxfId="163" priority="77" stopIfTrue="1" operator="containsText" text="Fail">
      <formula>NOT(ISERROR(SEARCH("Fail",C43)))</formula>
    </cfRule>
    <cfRule type="containsText" dxfId="162" priority="78" stopIfTrue="1" operator="containsText" text=" ">
      <formula>NOT(ISERROR(SEARCH(" ",C43)))</formula>
    </cfRule>
    <cfRule type="containsText" dxfId="161" priority="79" stopIfTrue="1" operator="containsText" text="Block">
      <formula>NOT(ISERROR(SEARCH("Block",C43)))</formula>
    </cfRule>
    <cfRule type="containsText" dxfId="160" priority="80" stopIfTrue="1" operator="containsText" text="N">
      <formula>NOT(ISERROR(SEARCH("N",C43)))</formula>
    </cfRule>
  </conditionalFormatting>
  <conditionalFormatting sqref="C77">
    <cfRule type="containsText" dxfId="159" priority="71" stopIfTrue="1" operator="containsText" text="Pass">
      <formula>NOT(ISERROR(SEARCH("Pass",C77)))</formula>
    </cfRule>
    <cfRule type="containsText" dxfId="158" priority="72" stopIfTrue="1" operator="containsText" text="Fail">
      <formula>NOT(ISERROR(SEARCH("Fail",C77)))</formula>
    </cfRule>
    <cfRule type="containsText" dxfId="157" priority="73" stopIfTrue="1" operator="containsText" text=" ">
      <formula>NOT(ISERROR(SEARCH(" ",C77)))</formula>
    </cfRule>
    <cfRule type="containsText" dxfId="156" priority="74" stopIfTrue="1" operator="containsText" text="Block">
      <formula>NOT(ISERROR(SEARCH("Block",C77)))</formula>
    </cfRule>
    <cfRule type="containsText" dxfId="155" priority="75" stopIfTrue="1" operator="containsText" text="N">
      <formula>NOT(ISERROR(SEARCH("N",C77)))</formula>
    </cfRule>
  </conditionalFormatting>
  <conditionalFormatting sqref="C78">
    <cfRule type="containsText" dxfId="154" priority="66" stopIfTrue="1" operator="containsText" text="Pass">
      <formula>NOT(ISERROR(SEARCH("Pass",C78)))</formula>
    </cfRule>
    <cfRule type="containsText" dxfId="153" priority="67" stopIfTrue="1" operator="containsText" text="Fail">
      <formula>NOT(ISERROR(SEARCH("Fail",C78)))</formula>
    </cfRule>
    <cfRule type="containsText" dxfId="152" priority="68" stopIfTrue="1" operator="containsText" text=" ">
      <formula>NOT(ISERROR(SEARCH(" ",C78)))</formula>
    </cfRule>
    <cfRule type="containsText" dxfId="151" priority="69" stopIfTrue="1" operator="containsText" text="Block">
      <formula>NOT(ISERROR(SEARCH("Block",C78)))</formula>
    </cfRule>
    <cfRule type="containsText" dxfId="150" priority="70" stopIfTrue="1" operator="containsText" text="N">
      <formula>NOT(ISERROR(SEARCH("N",C78)))</formula>
    </cfRule>
  </conditionalFormatting>
  <conditionalFormatting sqref="C79">
    <cfRule type="containsText" dxfId="149" priority="61" stopIfTrue="1" operator="containsText" text="Pass">
      <formula>NOT(ISERROR(SEARCH("Pass",C79)))</formula>
    </cfRule>
    <cfRule type="containsText" dxfId="148" priority="62" stopIfTrue="1" operator="containsText" text="Fail">
      <formula>NOT(ISERROR(SEARCH("Fail",C79)))</formula>
    </cfRule>
    <cfRule type="containsText" dxfId="147" priority="63" stopIfTrue="1" operator="containsText" text=" ">
      <formula>NOT(ISERROR(SEARCH(" ",C79)))</formula>
    </cfRule>
    <cfRule type="containsText" dxfId="146" priority="64" stopIfTrue="1" operator="containsText" text="Block">
      <formula>NOT(ISERROR(SEARCH("Block",C79)))</formula>
    </cfRule>
    <cfRule type="containsText" dxfId="145" priority="65" stopIfTrue="1" operator="containsText" text="N">
      <formula>NOT(ISERROR(SEARCH("N",C79)))</formula>
    </cfRule>
  </conditionalFormatting>
  <conditionalFormatting sqref="C81">
    <cfRule type="containsText" dxfId="144" priority="56" stopIfTrue="1" operator="containsText" text="Pass">
      <formula>NOT(ISERROR(SEARCH("Pass",C81)))</formula>
    </cfRule>
    <cfRule type="containsText" dxfId="143" priority="57" stopIfTrue="1" operator="containsText" text="Fail">
      <formula>NOT(ISERROR(SEARCH("Fail",C81)))</formula>
    </cfRule>
    <cfRule type="containsText" dxfId="142" priority="58" stopIfTrue="1" operator="containsText" text=" ">
      <formula>NOT(ISERROR(SEARCH(" ",C81)))</formula>
    </cfRule>
    <cfRule type="containsText" dxfId="141" priority="59" stopIfTrue="1" operator="containsText" text="Block">
      <formula>NOT(ISERROR(SEARCH("Block",C81)))</formula>
    </cfRule>
    <cfRule type="containsText" dxfId="140" priority="60" stopIfTrue="1" operator="containsText" text="N">
      <formula>NOT(ISERROR(SEARCH("N",C81)))</formula>
    </cfRule>
  </conditionalFormatting>
  <conditionalFormatting sqref="C84">
    <cfRule type="containsText" dxfId="139" priority="51" stopIfTrue="1" operator="containsText" text="Pass">
      <formula>NOT(ISERROR(SEARCH("Pass",C84)))</formula>
    </cfRule>
    <cfRule type="containsText" dxfId="138" priority="52" stopIfTrue="1" operator="containsText" text="Fail">
      <formula>NOT(ISERROR(SEARCH("Fail",C84)))</formula>
    </cfRule>
    <cfRule type="containsText" dxfId="137" priority="53" stopIfTrue="1" operator="containsText" text=" ">
      <formula>NOT(ISERROR(SEARCH(" ",C84)))</formula>
    </cfRule>
    <cfRule type="containsText" dxfId="136" priority="54" stopIfTrue="1" operator="containsText" text="Block">
      <formula>NOT(ISERROR(SEARCH("Block",C84)))</formula>
    </cfRule>
    <cfRule type="containsText" dxfId="135" priority="55" stopIfTrue="1" operator="containsText" text="N">
      <formula>NOT(ISERROR(SEARCH("N",C84)))</formula>
    </cfRule>
  </conditionalFormatting>
  <conditionalFormatting sqref="C97">
    <cfRule type="containsText" dxfId="134" priority="46" stopIfTrue="1" operator="containsText" text="Pass">
      <formula>NOT(ISERROR(SEARCH("Pass",C97)))</formula>
    </cfRule>
    <cfRule type="containsText" dxfId="133" priority="47" stopIfTrue="1" operator="containsText" text="Fail">
      <formula>NOT(ISERROR(SEARCH("Fail",C97)))</formula>
    </cfRule>
    <cfRule type="containsText" dxfId="132" priority="48" stopIfTrue="1" operator="containsText" text=" ">
      <formula>NOT(ISERROR(SEARCH(" ",C97)))</formula>
    </cfRule>
    <cfRule type="containsText" dxfId="131" priority="49" stopIfTrue="1" operator="containsText" text="Block">
      <formula>NOT(ISERROR(SEARCH("Block",C97)))</formula>
    </cfRule>
    <cfRule type="containsText" dxfId="130" priority="50" stopIfTrue="1" operator="containsText" text="N">
      <formula>NOT(ISERROR(SEARCH("N",C97)))</formula>
    </cfRule>
  </conditionalFormatting>
  <conditionalFormatting sqref="C98">
    <cfRule type="containsText" dxfId="129" priority="41" stopIfTrue="1" operator="containsText" text="Pass">
      <formula>NOT(ISERROR(SEARCH("Pass",C98)))</formula>
    </cfRule>
    <cfRule type="containsText" dxfId="128" priority="42" stopIfTrue="1" operator="containsText" text="Fail">
      <formula>NOT(ISERROR(SEARCH("Fail",C98)))</formula>
    </cfRule>
    <cfRule type="containsText" dxfId="127" priority="43" stopIfTrue="1" operator="containsText" text=" ">
      <formula>NOT(ISERROR(SEARCH(" ",C98)))</formula>
    </cfRule>
    <cfRule type="containsText" dxfId="126" priority="44" stopIfTrue="1" operator="containsText" text="Block">
      <formula>NOT(ISERROR(SEARCH("Block",C98)))</formula>
    </cfRule>
    <cfRule type="containsText" dxfId="125" priority="45" stopIfTrue="1" operator="containsText" text="N">
      <formula>NOT(ISERROR(SEARCH("N",C98)))</formula>
    </cfRule>
  </conditionalFormatting>
  <conditionalFormatting sqref="D99:D108">
    <cfRule type="containsText" dxfId="124" priority="36" stopIfTrue="1" operator="containsText" text="Pass">
      <formula>NOT(ISERROR(SEARCH("Pass",D99)))</formula>
    </cfRule>
    <cfRule type="containsText" dxfId="123" priority="37" stopIfTrue="1" operator="containsText" text="Fail">
      <formula>NOT(ISERROR(SEARCH("Fail",D99)))</formula>
    </cfRule>
    <cfRule type="containsText" dxfId="122" priority="38" stopIfTrue="1" operator="containsText" text=" ">
      <formula>NOT(ISERROR(SEARCH(" ",D99)))</formula>
    </cfRule>
    <cfRule type="containsText" dxfId="121" priority="39" stopIfTrue="1" operator="containsText" text="Block">
      <formula>NOT(ISERROR(SEARCH("Block",D99)))</formula>
    </cfRule>
    <cfRule type="containsText" dxfId="120" priority="40" stopIfTrue="1" operator="containsText" text="N">
      <formula>NOT(ISERROR(SEARCH("N",D99)))</formula>
    </cfRule>
  </conditionalFormatting>
  <conditionalFormatting sqref="C141:C151">
    <cfRule type="containsText" dxfId="119" priority="31" stopIfTrue="1" operator="containsText" text="Pass">
      <formula>NOT(ISERROR(SEARCH("Pass",C141)))</formula>
    </cfRule>
    <cfRule type="containsText" dxfId="118" priority="32" stopIfTrue="1" operator="containsText" text="Fail">
      <formula>NOT(ISERROR(SEARCH("Fail",C141)))</formula>
    </cfRule>
    <cfRule type="containsText" dxfId="117" priority="33" stopIfTrue="1" operator="containsText" text=" ">
      <formula>NOT(ISERROR(SEARCH(" ",C141)))</formula>
    </cfRule>
    <cfRule type="containsText" dxfId="116" priority="34" stopIfTrue="1" operator="containsText" text="Block">
      <formula>NOT(ISERROR(SEARCH("Block",C141)))</formula>
    </cfRule>
    <cfRule type="containsText" dxfId="115" priority="35" stopIfTrue="1" operator="containsText" text="N">
      <formula>NOT(ISERROR(SEARCH("N",C141)))</formula>
    </cfRule>
  </conditionalFormatting>
  <conditionalFormatting sqref="D159:D164">
    <cfRule type="containsText" dxfId="114" priority="26" stopIfTrue="1" operator="containsText" text="Pass">
      <formula>NOT(ISERROR(SEARCH("Pass",D159)))</formula>
    </cfRule>
    <cfRule type="containsText" dxfId="113" priority="27" stopIfTrue="1" operator="containsText" text="Fail">
      <formula>NOT(ISERROR(SEARCH("Fail",D159)))</formula>
    </cfRule>
    <cfRule type="containsText" dxfId="112" priority="28" stopIfTrue="1" operator="containsText" text=" ">
      <formula>NOT(ISERROR(SEARCH(" ",D159)))</formula>
    </cfRule>
    <cfRule type="containsText" dxfId="111" priority="29" stopIfTrue="1" operator="containsText" text="Block">
      <formula>NOT(ISERROR(SEARCH("Block",D159)))</formula>
    </cfRule>
    <cfRule type="containsText" dxfId="110" priority="30" stopIfTrue="1" operator="containsText" text="N">
      <formula>NOT(ISERROR(SEARCH("N",D159)))</formula>
    </cfRule>
  </conditionalFormatting>
  <conditionalFormatting sqref="D125">
    <cfRule type="containsText" dxfId="109" priority="16" stopIfTrue="1" operator="containsText" text="Pass">
      <formula>NOT(ISERROR(SEARCH("Pass",D125)))</formula>
    </cfRule>
    <cfRule type="containsText" dxfId="108" priority="17" stopIfTrue="1" operator="containsText" text="Fail">
      <formula>NOT(ISERROR(SEARCH("Fail",D125)))</formula>
    </cfRule>
    <cfRule type="containsText" dxfId="107" priority="18" stopIfTrue="1" operator="containsText" text=" ">
      <formula>NOT(ISERROR(SEARCH(" ",D125)))</formula>
    </cfRule>
    <cfRule type="containsText" dxfId="106" priority="19" stopIfTrue="1" operator="containsText" text="Block">
      <formula>NOT(ISERROR(SEARCH("Block",D125)))</formula>
    </cfRule>
    <cfRule type="containsText" dxfId="105" priority="20" stopIfTrue="1" operator="containsText" text="N">
      <formula>NOT(ISERROR(SEARCH("N",D125)))</formula>
    </cfRule>
  </conditionalFormatting>
  <conditionalFormatting sqref="D126">
    <cfRule type="containsText" dxfId="104" priority="1" stopIfTrue="1" operator="containsText" text="Pass">
      <formula>NOT(ISERROR(SEARCH("Pass",D126)))</formula>
    </cfRule>
    <cfRule type="containsText" dxfId="103" priority="2" stopIfTrue="1" operator="containsText" text="Fail">
      <formula>NOT(ISERROR(SEARCH("Fail",D126)))</formula>
    </cfRule>
    <cfRule type="containsText" dxfId="102" priority="3" stopIfTrue="1" operator="containsText" text=" ">
      <formula>NOT(ISERROR(SEARCH(" ",D126)))</formula>
    </cfRule>
    <cfRule type="containsText" dxfId="101" priority="4" stopIfTrue="1" operator="containsText" text="Block">
      <formula>NOT(ISERROR(SEARCH("Block",D126)))</formula>
    </cfRule>
    <cfRule type="containsText" dxfId="100" priority="5" stopIfTrue="1" operator="containsText" text="N">
      <formula>NOT(ISERROR(SEARCH("N",D126)))</formula>
    </cfRule>
  </conditionalFormatting>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Summary!S$4:S$9</xm:f>
          </x14:formula1>
          <xm:sqref>C7:C42 D159:D164 C152:C1048576 C99:C140 D99:D108 C85:C96 C82:C83 C80 C44:C76</xm:sqref>
        </x14:dataValidation>
        <x14:dataValidation type="list" allowBlank="1" showInputMessage="1" showErrorMessage="1" xr:uid="{00000000-0002-0000-0300-000001000000}">
          <x14:formula1>
            <xm:f>Summary!R$4:R$9</xm:f>
          </x14:formula1>
          <xm:sqref>D7:D98 D109:D158 D165:D1048576 C141:C151</xm:sqref>
        </x14:dataValidation>
        <x14:dataValidation type="list" allowBlank="1" showInputMessage="1" showErrorMessage="1" xr:uid="{00000000-0002-0000-0300-000002000000}">
          <x14:formula1>
            <xm:f>Summary!S$4:S$9</xm:f>
          </x14:formula1>
          <xm:sqref>E7:E1048576</xm:sqref>
        </x14:dataValidation>
        <x14:dataValidation type="list" allowBlank="1" showInputMessage="1" showErrorMessage="1" xr:uid="{00000000-0002-0000-0300-000003000000}">
          <x14:formula1>
            <xm:f>Summary!S$4:S$9</xm:f>
          </x14:formula1>
          <xm:sqref>F7:F1048576</xm:sqref>
        </x14:dataValidation>
        <x14:dataValidation type="list" allowBlank="1" showInputMessage="1" showErrorMessage="1" xr:uid="{00000000-0002-0000-0300-000004000000}">
          <x14:formula1>
            <xm:f>Summary!S$4:S$9</xm:f>
          </x14:formula1>
          <xm:sqref>G7:G1048576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L80"/>
  <sheetViews>
    <sheetView workbookViewId="0">
      <selection sqref="A1:XFD1048576"/>
    </sheetView>
  </sheetViews>
  <sheetFormatPr defaultRowHeight="15.75"/>
  <cols>
    <col min="1" max="1" width="26.140625" style="54" customWidth="1"/>
    <col min="2" max="2" width="152.5703125" style="54" customWidth="1"/>
    <col min="3" max="4" width="37.28515625" style="54" customWidth="1"/>
    <col min="5" max="6" width="21.7109375" style="54" customWidth="1"/>
    <col min="7" max="7" width="20" style="54" customWidth="1"/>
    <col min="8" max="8" width="13.28515625" bestFit="1" customWidth="1"/>
    <col min="9" max="9" width="11" style="54" bestFit="1" customWidth="1"/>
  </cols>
  <sheetData>
    <row r="1" spans="1:12">
      <c r="B1" s="67" t="s">
        <v>66</v>
      </c>
      <c r="C1" s="73" t="s">
        <v>67</v>
      </c>
      <c r="D1" s="54" t="s">
        <v>68</v>
      </c>
      <c r="E1" s="58" t="s">
        <v>69</v>
      </c>
      <c r="F1" s="58" t="s">
        <v>69</v>
      </c>
      <c r="G1" s="58" t="s">
        <v>69</v>
      </c>
    </row>
    <row r="2" spans="1:12">
      <c r="B2" s="67" t="s">
        <v>70</v>
      </c>
      <c r="C2" s="73" t="s">
        <v>71</v>
      </c>
      <c r="D2" s="54" t="s">
        <v>71</v>
      </c>
      <c r="E2" s="58" t="s">
        <v>72</v>
      </c>
      <c r="F2" s="58" t="s">
        <v>72</v>
      </c>
      <c r="G2" s="58" t="s">
        <v>72</v>
      </c>
    </row>
    <row r="3" spans="1:12">
      <c r="B3" s="67" t="s">
        <v>73</v>
      </c>
      <c r="C3" s="73" t="s">
        <v>74</v>
      </c>
      <c r="D3" s="73" t="s">
        <v>74</v>
      </c>
      <c r="E3" s="58" t="s">
        <v>75</v>
      </c>
      <c r="F3" s="58" t="s">
        <v>75</v>
      </c>
      <c r="G3" s="58" t="s">
        <v>75</v>
      </c>
    </row>
    <row r="4" spans="1:12">
      <c r="B4" s="67" t="s">
        <v>76</v>
      </c>
      <c r="C4" s="73" t="s">
        <v>77</v>
      </c>
      <c r="D4" s="54" t="s">
        <v>77</v>
      </c>
      <c r="E4" s="58" t="s">
        <v>78</v>
      </c>
      <c r="F4" s="58" t="s">
        <v>78</v>
      </c>
      <c r="G4" s="58" t="s">
        <v>78</v>
      </c>
      <c r="K4" t="s">
        <v>57</v>
      </c>
      <c r="L4">
        <f>COUNTIFS($H:$H,K$4)</f>
        <v>8</v>
      </c>
    </row>
    <row r="5" spans="1:12">
      <c r="B5" s="67" t="s">
        <v>79</v>
      </c>
      <c r="C5" s="73" t="s">
        <v>80</v>
      </c>
      <c r="D5" s="54" t="s">
        <v>80</v>
      </c>
      <c r="E5" s="58" t="s">
        <v>81</v>
      </c>
      <c r="F5" s="58" t="s">
        <v>81</v>
      </c>
      <c r="G5" s="58" t="s">
        <v>81</v>
      </c>
      <c r="K5" t="s">
        <v>59</v>
      </c>
      <c r="L5">
        <f>COUNTIFS($H:$H,K$5)</f>
        <v>3</v>
      </c>
    </row>
    <row r="6" spans="1:12" s="70" customFormat="1" ht="19.5">
      <c r="A6" s="68" t="s">
        <v>82</v>
      </c>
      <c r="B6" s="68" t="s">
        <v>83</v>
      </c>
      <c r="C6" s="68" t="s">
        <v>84</v>
      </c>
      <c r="D6" s="68" t="s">
        <v>84</v>
      </c>
      <c r="E6" s="68" t="s">
        <v>84</v>
      </c>
      <c r="F6" s="68" t="s">
        <v>84</v>
      </c>
      <c r="G6" s="68" t="s">
        <v>84</v>
      </c>
      <c r="H6" s="69" t="s">
        <v>85</v>
      </c>
      <c r="I6" s="68" t="s">
        <v>86</v>
      </c>
      <c r="K6" s="70" t="s">
        <v>60</v>
      </c>
      <c r="L6" s="70">
        <f>COUNTIFS($H:$H,K$6)</f>
        <v>0</v>
      </c>
    </row>
    <row r="7" spans="1:12">
      <c r="A7" s="54" t="s">
        <v>724</v>
      </c>
      <c r="B7" s="54" t="s">
        <v>725</v>
      </c>
      <c r="H7" t="str">
        <f t="shared" ref="H7:H40" si="0">IF(G7="",IF(F7="",IF(E7="",IF(D7="",IF(C7="","",C7),D7),E7),F7),G7)</f>
        <v/>
      </c>
      <c r="K7" t="s">
        <v>62</v>
      </c>
      <c r="L7">
        <f>COUNTIFS($H:$H,K$7)</f>
        <v>0</v>
      </c>
    </row>
    <row r="8" spans="1:12">
      <c r="A8" s="54" t="s">
        <v>726</v>
      </c>
      <c r="B8" s="54" t="s">
        <v>727</v>
      </c>
      <c r="H8" t="str">
        <f t="shared" si="0"/>
        <v/>
      </c>
      <c r="K8" t="s">
        <v>63</v>
      </c>
      <c r="L8">
        <f>COUNTIFS($H:$H,K$8)</f>
        <v>0</v>
      </c>
    </row>
    <row r="9" spans="1:12">
      <c r="A9" s="54" t="s">
        <v>728</v>
      </c>
      <c r="B9" s="54" t="s">
        <v>729</v>
      </c>
      <c r="H9" t="str">
        <f t="shared" si="0"/>
        <v/>
      </c>
      <c r="K9" t="s">
        <v>65</v>
      </c>
      <c r="L9">
        <f>COUNTIFS($H:$H,K$9)</f>
        <v>0</v>
      </c>
    </row>
    <row r="10" spans="1:12">
      <c r="A10" s="54" t="s">
        <v>730</v>
      </c>
      <c r="B10" s="54" t="s">
        <v>731</v>
      </c>
      <c r="H10" t="str">
        <f t="shared" si="0"/>
        <v/>
      </c>
    </row>
    <row r="11" spans="1:12">
      <c r="A11" s="54" t="s">
        <v>732</v>
      </c>
      <c r="B11" s="54" t="s">
        <v>733</v>
      </c>
      <c r="H11" t="str">
        <f t="shared" si="0"/>
        <v/>
      </c>
    </row>
    <row r="12" spans="1:12">
      <c r="A12" s="54" t="s">
        <v>734</v>
      </c>
      <c r="B12" s="54" t="s">
        <v>735</v>
      </c>
      <c r="H12" t="str">
        <f t="shared" si="0"/>
        <v/>
      </c>
    </row>
    <row r="13" spans="1:12">
      <c r="A13" s="54" t="s">
        <v>736</v>
      </c>
      <c r="B13" s="54" t="s">
        <v>737</v>
      </c>
      <c r="H13" t="str">
        <f t="shared" si="0"/>
        <v/>
      </c>
    </row>
    <row r="14" spans="1:12">
      <c r="A14" s="54" t="s">
        <v>738</v>
      </c>
      <c r="B14" s="54" t="s">
        <v>739</v>
      </c>
      <c r="H14" t="str">
        <f t="shared" si="0"/>
        <v/>
      </c>
    </row>
    <row r="15" spans="1:12">
      <c r="A15" s="74" t="s">
        <v>740</v>
      </c>
      <c r="B15" s="73" t="s">
        <v>741</v>
      </c>
      <c r="C15" s="54" t="s">
        <v>57</v>
      </c>
      <c r="H15" t="str">
        <f t="shared" si="0"/>
        <v>Pass</v>
      </c>
    </row>
    <row r="16" spans="1:12">
      <c r="A16" s="75" t="s">
        <v>742</v>
      </c>
      <c r="B16" s="73" t="s">
        <v>743</v>
      </c>
      <c r="C16" s="54" t="s">
        <v>59</v>
      </c>
      <c r="H16" t="str">
        <f t="shared" si="0"/>
        <v>Fail</v>
      </c>
    </row>
    <row r="17" spans="1:8">
      <c r="A17" s="75" t="s">
        <v>744</v>
      </c>
      <c r="B17" s="73" t="s">
        <v>745</v>
      </c>
      <c r="C17" s="54" t="s">
        <v>57</v>
      </c>
      <c r="H17" t="str">
        <f t="shared" si="0"/>
        <v>Pass</v>
      </c>
    </row>
    <row r="18" spans="1:8">
      <c r="A18" s="54" t="s">
        <v>746</v>
      </c>
      <c r="B18" s="73" t="s">
        <v>747</v>
      </c>
      <c r="H18" t="str">
        <f t="shared" si="0"/>
        <v/>
      </c>
    </row>
    <row r="19" spans="1:8">
      <c r="A19" s="74" t="s">
        <v>748</v>
      </c>
      <c r="B19" s="73" t="s">
        <v>749</v>
      </c>
      <c r="C19" s="54" t="s">
        <v>57</v>
      </c>
      <c r="H19" t="str">
        <f t="shared" si="0"/>
        <v>Pass</v>
      </c>
    </row>
    <row r="20" spans="1:8">
      <c r="A20" s="76" t="s">
        <v>750</v>
      </c>
      <c r="B20" s="73" t="s">
        <v>751</v>
      </c>
      <c r="C20" s="54" t="s">
        <v>59</v>
      </c>
      <c r="H20" t="str">
        <f t="shared" si="0"/>
        <v>Fail</v>
      </c>
    </row>
    <row r="21" spans="1:8">
      <c r="A21" s="76" t="s">
        <v>752</v>
      </c>
      <c r="B21" s="73" t="s">
        <v>753</v>
      </c>
      <c r="C21" s="54" t="s">
        <v>59</v>
      </c>
      <c r="H21" t="str">
        <f t="shared" si="0"/>
        <v>Fail</v>
      </c>
    </row>
    <row r="22" spans="1:8" hidden="1">
      <c r="A22" s="54" t="s">
        <v>754</v>
      </c>
      <c r="B22" s="54" t="s">
        <v>755</v>
      </c>
      <c r="H22" t="str">
        <f t="shared" si="0"/>
        <v/>
      </c>
    </row>
    <row r="23" spans="1:8" hidden="1">
      <c r="A23" s="54" t="s">
        <v>756</v>
      </c>
      <c r="B23" s="54" t="s">
        <v>757</v>
      </c>
      <c r="H23" t="str">
        <f t="shared" si="0"/>
        <v/>
      </c>
    </row>
    <row r="24" spans="1:8" hidden="1">
      <c r="A24" s="54" t="s">
        <v>758</v>
      </c>
      <c r="B24" s="54" t="s">
        <v>759</v>
      </c>
      <c r="H24" t="str">
        <f t="shared" si="0"/>
        <v/>
      </c>
    </row>
    <row r="25" spans="1:8" hidden="1">
      <c r="A25" s="54" t="s">
        <v>760</v>
      </c>
      <c r="B25" s="54" t="s">
        <v>761</v>
      </c>
      <c r="H25" t="str">
        <f t="shared" si="0"/>
        <v/>
      </c>
    </row>
    <row r="26" spans="1:8" hidden="1">
      <c r="A26" s="54" t="s">
        <v>762</v>
      </c>
      <c r="B26" s="54" t="s">
        <v>763</v>
      </c>
      <c r="H26" t="str">
        <f t="shared" si="0"/>
        <v/>
      </c>
    </row>
    <row r="27" spans="1:8" hidden="1">
      <c r="A27" s="54" t="s">
        <v>764</v>
      </c>
      <c r="B27" s="54" t="s">
        <v>765</v>
      </c>
      <c r="H27" t="str">
        <f t="shared" si="0"/>
        <v/>
      </c>
    </row>
    <row r="28" spans="1:8" hidden="1">
      <c r="A28" s="54" t="s">
        <v>766</v>
      </c>
      <c r="B28" s="54" t="s">
        <v>767</v>
      </c>
      <c r="H28" t="str">
        <f t="shared" si="0"/>
        <v/>
      </c>
    </row>
    <row r="29" spans="1:8" hidden="1">
      <c r="A29" s="54" t="s">
        <v>768</v>
      </c>
      <c r="B29" s="54" t="s">
        <v>769</v>
      </c>
      <c r="H29" t="str">
        <f t="shared" si="0"/>
        <v/>
      </c>
    </row>
    <row r="30" spans="1:8" hidden="1">
      <c r="A30" s="54" t="s">
        <v>770</v>
      </c>
      <c r="B30" s="54" t="s">
        <v>771</v>
      </c>
      <c r="H30" t="str">
        <f t="shared" si="0"/>
        <v/>
      </c>
    </row>
    <row r="31" spans="1:8" hidden="1">
      <c r="A31" s="54" t="s">
        <v>772</v>
      </c>
      <c r="B31" s="54" t="s">
        <v>773</v>
      </c>
      <c r="H31" t="str">
        <f t="shared" si="0"/>
        <v/>
      </c>
    </row>
    <row r="32" spans="1:8" hidden="1">
      <c r="A32" s="54" t="s">
        <v>774</v>
      </c>
      <c r="B32" s="54" t="s">
        <v>775</v>
      </c>
      <c r="H32" t="str">
        <f t="shared" si="0"/>
        <v/>
      </c>
    </row>
    <row r="33" spans="1:8" hidden="1">
      <c r="A33" s="54" t="s">
        <v>776</v>
      </c>
      <c r="B33" s="54" t="s">
        <v>777</v>
      </c>
      <c r="H33" t="str">
        <f t="shared" si="0"/>
        <v/>
      </c>
    </row>
    <row r="34" spans="1:8" hidden="1">
      <c r="A34" s="54" t="s">
        <v>778</v>
      </c>
      <c r="B34" s="54" t="s">
        <v>779</v>
      </c>
      <c r="H34" t="str">
        <f t="shared" si="0"/>
        <v/>
      </c>
    </row>
    <row r="35" spans="1:8" hidden="1">
      <c r="A35" s="54" t="s">
        <v>780</v>
      </c>
      <c r="B35" s="54" t="s">
        <v>781</v>
      </c>
      <c r="H35" t="str">
        <f t="shared" si="0"/>
        <v/>
      </c>
    </row>
    <row r="36" spans="1:8" hidden="1">
      <c r="A36" s="54" t="s">
        <v>782</v>
      </c>
      <c r="B36" s="54" t="s">
        <v>783</v>
      </c>
      <c r="H36" t="str">
        <f t="shared" si="0"/>
        <v/>
      </c>
    </row>
    <row r="37" spans="1:8" hidden="1">
      <c r="A37" s="54" t="s">
        <v>784</v>
      </c>
      <c r="B37" s="54" t="s">
        <v>785</v>
      </c>
      <c r="H37" t="str">
        <f t="shared" si="0"/>
        <v/>
      </c>
    </row>
    <row r="38" spans="1:8" hidden="1">
      <c r="A38" s="54" t="s">
        <v>786</v>
      </c>
      <c r="B38" s="54" t="s">
        <v>787</v>
      </c>
      <c r="H38" t="str">
        <f t="shared" si="0"/>
        <v/>
      </c>
    </row>
    <row r="39" spans="1:8" hidden="1">
      <c r="A39" s="54" t="s">
        <v>788</v>
      </c>
      <c r="B39" s="54" t="s">
        <v>789</v>
      </c>
      <c r="H39" t="str">
        <f t="shared" si="0"/>
        <v/>
      </c>
    </row>
    <row r="40" spans="1:8" hidden="1">
      <c r="A40" s="54" t="s">
        <v>790</v>
      </c>
      <c r="B40" s="54" t="s">
        <v>791</v>
      </c>
      <c r="H40" t="str">
        <f t="shared" si="0"/>
        <v/>
      </c>
    </row>
    <row r="41" spans="1:8" hidden="1">
      <c r="A41" s="54" t="s">
        <v>792</v>
      </c>
      <c r="B41" s="54" t="s">
        <v>793</v>
      </c>
      <c r="H41" t="str">
        <f t="shared" ref="H41:H72" si="1">IF(G41="",IF(F41="",IF(E41="",IF(D41="",IF(C41="","",C41),D41),E41),F41),G41)</f>
        <v/>
      </c>
    </row>
    <row r="42" spans="1:8" hidden="1">
      <c r="A42" s="54" t="s">
        <v>794</v>
      </c>
      <c r="B42" s="54" t="s">
        <v>795</v>
      </c>
      <c r="H42" t="str">
        <f t="shared" si="1"/>
        <v/>
      </c>
    </row>
    <row r="43" spans="1:8" hidden="1">
      <c r="A43" s="54" t="s">
        <v>796</v>
      </c>
      <c r="B43" s="54" t="s">
        <v>797</v>
      </c>
      <c r="H43" t="str">
        <f t="shared" si="1"/>
        <v/>
      </c>
    </row>
    <row r="44" spans="1:8" hidden="1">
      <c r="A44" s="54" t="s">
        <v>798</v>
      </c>
      <c r="B44" s="54" t="s">
        <v>799</v>
      </c>
      <c r="H44" t="str">
        <f t="shared" si="1"/>
        <v/>
      </c>
    </row>
    <row r="45" spans="1:8" hidden="1">
      <c r="A45" s="54" t="s">
        <v>800</v>
      </c>
      <c r="B45" s="54" t="s">
        <v>801</v>
      </c>
      <c r="H45" t="str">
        <f t="shared" si="1"/>
        <v/>
      </c>
    </row>
    <row r="46" spans="1:8" hidden="1">
      <c r="A46" s="54" t="s">
        <v>802</v>
      </c>
      <c r="B46" s="54" t="s">
        <v>803</v>
      </c>
      <c r="H46" t="str">
        <f t="shared" si="1"/>
        <v/>
      </c>
    </row>
    <row r="47" spans="1:8" hidden="1">
      <c r="A47" s="54" t="s">
        <v>804</v>
      </c>
      <c r="B47" s="54" t="s">
        <v>805</v>
      </c>
      <c r="H47" t="str">
        <f t="shared" si="1"/>
        <v/>
      </c>
    </row>
    <row r="48" spans="1:8" hidden="1">
      <c r="A48" s="54" t="s">
        <v>806</v>
      </c>
      <c r="B48" s="54" t="s">
        <v>807</v>
      </c>
      <c r="H48" t="str">
        <f t="shared" si="1"/>
        <v/>
      </c>
    </row>
    <row r="49" spans="1:8" hidden="1">
      <c r="A49" s="54" t="s">
        <v>808</v>
      </c>
      <c r="B49" s="54" t="s">
        <v>809</v>
      </c>
      <c r="H49" t="str">
        <f t="shared" si="1"/>
        <v/>
      </c>
    </row>
    <row r="50" spans="1:8" hidden="1">
      <c r="A50" s="54" t="s">
        <v>810</v>
      </c>
      <c r="B50" s="54" t="s">
        <v>811</v>
      </c>
      <c r="H50" t="str">
        <f t="shared" si="1"/>
        <v/>
      </c>
    </row>
    <row r="51" spans="1:8">
      <c r="A51" s="71" t="s">
        <v>812</v>
      </c>
      <c r="B51" s="71" t="s">
        <v>813</v>
      </c>
      <c r="D51" s="54" t="s">
        <v>57</v>
      </c>
      <c r="H51" t="str">
        <f t="shared" si="1"/>
        <v>Pass</v>
      </c>
    </row>
    <row r="52" spans="1:8">
      <c r="A52" s="71" t="s">
        <v>814</v>
      </c>
      <c r="B52" s="71" t="s">
        <v>815</v>
      </c>
      <c r="D52" s="54" t="s">
        <v>57</v>
      </c>
      <c r="H52" t="str">
        <f t="shared" si="1"/>
        <v>Pass</v>
      </c>
    </row>
    <row r="53" spans="1:8">
      <c r="A53" s="71" t="s">
        <v>816</v>
      </c>
      <c r="B53" s="71" t="s">
        <v>817</v>
      </c>
      <c r="D53" s="54" t="s">
        <v>57</v>
      </c>
      <c r="H53" t="str">
        <f t="shared" si="1"/>
        <v>Pass</v>
      </c>
    </row>
    <row r="54" spans="1:8">
      <c r="A54" s="71" t="s">
        <v>818</v>
      </c>
      <c r="B54" s="71" t="s">
        <v>819</v>
      </c>
      <c r="D54" s="54" t="s">
        <v>57</v>
      </c>
      <c r="H54" t="str">
        <f t="shared" si="1"/>
        <v>Pass</v>
      </c>
    </row>
    <row r="55" spans="1:8">
      <c r="A55" s="71" t="s">
        <v>820</v>
      </c>
      <c r="B55" s="71" t="s">
        <v>821</v>
      </c>
      <c r="D55" s="54" t="s">
        <v>57</v>
      </c>
      <c r="H55" t="str">
        <f t="shared" si="1"/>
        <v>Pass</v>
      </c>
    </row>
    <row r="56" spans="1:8">
      <c r="A56" s="54" t="s">
        <v>822</v>
      </c>
      <c r="B56" s="54" t="s">
        <v>823</v>
      </c>
      <c r="H56" t="str">
        <f t="shared" si="1"/>
        <v/>
      </c>
    </row>
    <row r="57" spans="1:8">
      <c r="A57" s="54" t="s">
        <v>824</v>
      </c>
      <c r="B57" s="54" t="s">
        <v>825</v>
      </c>
      <c r="H57" t="str">
        <f t="shared" si="1"/>
        <v/>
      </c>
    </row>
    <row r="58" spans="1:8">
      <c r="A58" s="54" t="s">
        <v>826</v>
      </c>
      <c r="B58" s="54" t="s">
        <v>827</v>
      </c>
      <c r="H58" t="str">
        <f t="shared" si="1"/>
        <v/>
      </c>
    </row>
    <row r="59" spans="1:8">
      <c r="A59" s="54" t="s">
        <v>828</v>
      </c>
      <c r="B59" s="54" t="s">
        <v>829</v>
      </c>
      <c r="H59" t="str">
        <f t="shared" si="1"/>
        <v/>
      </c>
    </row>
    <row r="60" spans="1:8">
      <c r="A60" s="54" t="s">
        <v>830</v>
      </c>
      <c r="B60" s="54" t="s">
        <v>831</v>
      </c>
      <c r="H60" t="str">
        <f t="shared" si="1"/>
        <v/>
      </c>
    </row>
    <row r="61" spans="1:8">
      <c r="A61" s="54" t="s">
        <v>832</v>
      </c>
      <c r="B61" s="54" t="s">
        <v>833</v>
      </c>
      <c r="H61" t="str">
        <f t="shared" si="1"/>
        <v/>
      </c>
    </row>
    <row r="62" spans="1:8">
      <c r="A62" s="54" t="s">
        <v>834</v>
      </c>
      <c r="B62" s="54" t="s">
        <v>835</v>
      </c>
      <c r="H62" t="str">
        <f t="shared" si="1"/>
        <v/>
      </c>
    </row>
    <row r="63" spans="1:8">
      <c r="A63" s="54" t="s">
        <v>836</v>
      </c>
      <c r="B63" s="54" t="s">
        <v>837</v>
      </c>
      <c r="H63" t="str">
        <f t="shared" si="1"/>
        <v/>
      </c>
    </row>
    <row r="64" spans="1:8">
      <c r="A64" s="54" t="s">
        <v>838</v>
      </c>
      <c r="B64" s="54" t="s">
        <v>839</v>
      </c>
      <c r="H64" t="str">
        <f t="shared" si="1"/>
        <v/>
      </c>
    </row>
    <row r="65" spans="1:8">
      <c r="A65" s="54" t="s">
        <v>840</v>
      </c>
      <c r="B65" s="54" t="s">
        <v>841</v>
      </c>
      <c r="H65" t="str">
        <f t="shared" si="1"/>
        <v/>
      </c>
    </row>
    <row r="66" spans="1:8">
      <c r="A66" s="54" t="s">
        <v>842</v>
      </c>
      <c r="B66" s="54" t="s">
        <v>843</v>
      </c>
      <c r="H66" t="str">
        <f t="shared" si="1"/>
        <v/>
      </c>
    </row>
    <row r="67" spans="1:8">
      <c r="A67" s="54" t="s">
        <v>844</v>
      </c>
      <c r="B67" s="54" t="s">
        <v>845</v>
      </c>
      <c r="H67" t="str">
        <f t="shared" si="1"/>
        <v/>
      </c>
    </row>
    <row r="68" spans="1:8">
      <c r="A68" s="54" t="s">
        <v>846</v>
      </c>
      <c r="B68" s="54" t="s">
        <v>847</v>
      </c>
      <c r="H68" t="str">
        <f t="shared" si="1"/>
        <v/>
      </c>
    </row>
    <row r="69" spans="1:8">
      <c r="A69" s="54" t="s">
        <v>848</v>
      </c>
      <c r="B69" s="54" t="s">
        <v>849</v>
      </c>
      <c r="H69" t="str">
        <f t="shared" si="1"/>
        <v/>
      </c>
    </row>
    <row r="70" spans="1:8">
      <c r="A70" s="54" t="s">
        <v>850</v>
      </c>
      <c r="B70" s="54" t="s">
        <v>851</v>
      </c>
      <c r="H70" t="str">
        <f t="shared" si="1"/>
        <v/>
      </c>
    </row>
    <row r="71" spans="1:8">
      <c r="A71" s="54" t="s">
        <v>852</v>
      </c>
      <c r="B71" s="54" t="s">
        <v>853</v>
      </c>
      <c r="H71" t="str">
        <f t="shared" si="1"/>
        <v/>
      </c>
    </row>
    <row r="72" spans="1:8">
      <c r="A72" s="54" t="s">
        <v>854</v>
      </c>
      <c r="B72" s="54" t="s">
        <v>855</v>
      </c>
      <c r="H72" t="str">
        <f t="shared" si="1"/>
        <v/>
      </c>
    </row>
    <row r="73" spans="1:8">
      <c r="A73" s="54" t="s">
        <v>856</v>
      </c>
      <c r="B73" s="54" t="s">
        <v>857</v>
      </c>
      <c r="H73" t="str">
        <f t="shared" ref="H73:H80" si="2">IF(G73="",IF(F73="",IF(E73="",IF(D73="",IF(C73="","",C73),D73),E73),F73),G73)</f>
        <v/>
      </c>
    </row>
    <row r="74" spans="1:8">
      <c r="A74" s="54" t="s">
        <v>858</v>
      </c>
      <c r="B74" s="54" t="s">
        <v>859</v>
      </c>
      <c r="H74" t="str">
        <f t="shared" si="2"/>
        <v/>
      </c>
    </row>
    <row r="75" spans="1:8">
      <c r="A75" s="54" t="s">
        <v>860</v>
      </c>
      <c r="B75" s="54" t="s">
        <v>861</v>
      </c>
      <c r="H75" t="str">
        <f t="shared" si="2"/>
        <v/>
      </c>
    </row>
    <row r="76" spans="1:8">
      <c r="A76" s="54" t="s">
        <v>862</v>
      </c>
      <c r="B76" s="54" t="s">
        <v>863</v>
      </c>
      <c r="H76" t="str">
        <f t="shared" si="2"/>
        <v/>
      </c>
    </row>
    <row r="77" spans="1:8">
      <c r="A77" s="54" t="s">
        <v>864</v>
      </c>
      <c r="B77" s="54" t="s">
        <v>865</v>
      </c>
      <c r="H77" t="str">
        <f t="shared" si="2"/>
        <v/>
      </c>
    </row>
    <row r="78" spans="1:8">
      <c r="A78" s="54" t="s">
        <v>866</v>
      </c>
      <c r="B78" s="54" t="s">
        <v>867</v>
      </c>
      <c r="H78" t="str">
        <f t="shared" si="2"/>
        <v/>
      </c>
    </row>
    <row r="79" spans="1:8">
      <c r="A79" s="54" t="s">
        <v>868</v>
      </c>
      <c r="B79" s="54" t="s">
        <v>869</v>
      </c>
      <c r="H79" t="str">
        <f t="shared" si="2"/>
        <v/>
      </c>
    </row>
    <row r="80" spans="1:8">
      <c r="A80" s="54" t="s">
        <v>870</v>
      </c>
      <c r="B80" s="54" t="s">
        <v>871</v>
      </c>
      <c r="H80" t="str">
        <f t="shared" si="2"/>
        <v/>
      </c>
    </row>
  </sheetData>
  <phoneticPr fontId="38" type="noConversion"/>
  <conditionalFormatting sqref="E7:E19 E22:E1048576">
    <cfRule type="containsText" dxfId="99" priority="126" stopIfTrue="1" operator="containsText" text="Pass">
      <formula>NOT(ISERROR(SEARCH("Pass",E7)))</formula>
    </cfRule>
    <cfRule type="containsText" dxfId="98" priority="127" stopIfTrue="1" operator="containsText" text="Fail">
      <formula>NOT(ISERROR(SEARCH("Fail",E7)))</formula>
    </cfRule>
    <cfRule type="containsText" dxfId="97" priority="128" stopIfTrue="1" operator="containsText" text=" ">
      <formula>NOT(ISERROR(SEARCH(" ",E7)))</formula>
    </cfRule>
    <cfRule type="containsText" dxfId="96" priority="129" stopIfTrue="1" operator="containsText" text="Block">
      <formula>NOT(ISERROR(SEARCH("Block",E7)))</formula>
    </cfRule>
    <cfRule type="containsText" dxfId="95" priority="130" stopIfTrue="1" operator="containsText" text="N">
      <formula>NOT(ISERROR(SEARCH("N",E7)))</formula>
    </cfRule>
  </conditionalFormatting>
  <conditionalFormatting sqref="F7:F19 F22:F1048576">
    <cfRule type="containsText" dxfId="94" priority="131" stopIfTrue="1" operator="containsText" text="Pass">
      <formula>NOT(ISERROR(SEARCH("Pass",F7)))</formula>
    </cfRule>
    <cfRule type="containsText" dxfId="93" priority="132" stopIfTrue="1" operator="containsText" text="Fail">
      <formula>NOT(ISERROR(SEARCH("Fail",F7)))</formula>
    </cfRule>
    <cfRule type="containsText" dxfId="92" priority="133" stopIfTrue="1" operator="containsText" text=" ">
      <formula>NOT(ISERROR(SEARCH(" ",F7)))</formula>
    </cfRule>
    <cfRule type="containsText" dxfId="91" priority="134" stopIfTrue="1" operator="containsText" text="Block">
      <formula>NOT(ISERROR(SEARCH("Block",F7)))</formula>
    </cfRule>
    <cfRule type="containsText" dxfId="90" priority="135" stopIfTrue="1" operator="containsText" text="N">
      <formula>NOT(ISERROR(SEARCH("N",F7)))</formula>
    </cfRule>
  </conditionalFormatting>
  <conditionalFormatting sqref="G7:G19 G22:G1048576">
    <cfRule type="containsText" dxfId="89" priority="136" stopIfTrue="1" operator="containsText" text="Pass">
      <formula>NOT(ISERROR(SEARCH("Pass",G7)))</formula>
    </cfRule>
    <cfRule type="containsText" dxfId="88" priority="137" stopIfTrue="1" operator="containsText" text="Fail">
      <formula>NOT(ISERROR(SEARCH("Fail",G7)))</formula>
    </cfRule>
    <cfRule type="containsText" dxfId="87" priority="138" stopIfTrue="1" operator="containsText" text=" ">
      <formula>NOT(ISERROR(SEARCH(" ",G7)))</formula>
    </cfRule>
    <cfRule type="containsText" dxfId="86" priority="139" stopIfTrue="1" operator="containsText" text="Block">
      <formula>NOT(ISERROR(SEARCH("Block",G7)))</formula>
    </cfRule>
    <cfRule type="containsText" dxfId="85" priority="140" stopIfTrue="1" operator="containsText" text="N">
      <formula>NOT(ISERROR(SEARCH("N",G7)))</formula>
    </cfRule>
  </conditionalFormatting>
  <conditionalFormatting sqref="H7:H1048576">
    <cfRule type="containsText" dxfId="84" priority="141" stopIfTrue="1" operator="containsText" text="Pass">
      <formula>NOT(ISERROR(SEARCH("Pass",H7)))</formula>
    </cfRule>
    <cfRule type="containsText" dxfId="83" priority="142" stopIfTrue="1" operator="containsText" text="Fail">
      <formula>NOT(ISERROR(SEARCH("Fail",H7)))</formula>
    </cfRule>
    <cfRule type="containsText" dxfId="82" priority="143" stopIfTrue="1" operator="containsText" text=" ">
      <formula>NOT(ISERROR(SEARCH(" ",H7)))</formula>
    </cfRule>
    <cfRule type="containsText" dxfId="81" priority="144" stopIfTrue="1" operator="containsText" text="Block">
      <formula>NOT(ISERROR(SEARCH("Block",H7)))</formula>
    </cfRule>
    <cfRule type="containsText" dxfId="80" priority="145" stopIfTrue="1" operator="containsText" text="N">
      <formula>NOT(ISERROR(SEARCH("N",H7)))</formula>
    </cfRule>
  </conditionalFormatting>
  <conditionalFormatting sqref="C7:C14 C22:C1048576 C18">
    <cfRule type="containsText" dxfId="79" priority="111" stopIfTrue="1" operator="containsText" text="Pass">
      <formula>NOT(ISERROR(SEARCH("Pass",C7)))</formula>
    </cfRule>
    <cfRule type="containsText" dxfId="78" priority="112" stopIfTrue="1" operator="containsText" text="Fail">
      <formula>NOT(ISERROR(SEARCH("Fail",C7)))</formula>
    </cfRule>
    <cfRule type="containsText" dxfId="77" priority="113" stopIfTrue="1" operator="containsText" text=" ">
      <formula>NOT(ISERROR(SEARCH(" ",C7)))</formula>
    </cfRule>
    <cfRule type="containsText" dxfId="76" priority="114" stopIfTrue="1" operator="containsText" text="Block">
      <formula>NOT(ISERROR(SEARCH("Block",C7)))</formula>
    </cfRule>
    <cfRule type="containsText" dxfId="75" priority="115" stopIfTrue="1" operator="containsText" text="N">
      <formula>NOT(ISERROR(SEARCH("N",C7)))</formula>
    </cfRule>
  </conditionalFormatting>
  <conditionalFormatting sqref="E20:E21">
    <cfRule type="containsText" dxfId="74" priority="91" stopIfTrue="1" operator="containsText" text="Pass">
      <formula>NOT(ISERROR(SEARCH("Pass",E20)))</formula>
    </cfRule>
    <cfRule type="containsText" dxfId="73" priority="92" stopIfTrue="1" operator="containsText" text="Fail">
      <formula>NOT(ISERROR(SEARCH("Fail",E20)))</formula>
    </cfRule>
    <cfRule type="containsText" dxfId="72" priority="93" stopIfTrue="1" operator="containsText" text=" ">
      <formula>NOT(ISERROR(SEARCH(" ",E20)))</formula>
    </cfRule>
    <cfRule type="containsText" dxfId="71" priority="94" stopIfTrue="1" operator="containsText" text="Block">
      <formula>NOT(ISERROR(SEARCH("Block",E20)))</formula>
    </cfRule>
    <cfRule type="containsText" dxfId="70" priority="95" stopIfTrue="1" operator="containsText" text="N">
      <formula>NOT(ISERROR(SEARCH("N",E20)))</formula>
    </cfRule>
  </conditionalFormatting>
  <conditionalFormatting sqref="F20:F21">
    <cfRule type="containsText" dxfId="69" priority="96" stopIfTrue="1" operator="containsText" text="Pass">
      <formula>NOT(ISERROR(SEARCH("Pass",F20)))</formula>
    </cfRule>
    <cfRule type="containsText" dxfId="68" priority="97" stopIfTrue="1" operator="containsText" text="Fail">
      <formula>NOT(ISERROR(SEARCH("Fail",F20)))</formula>
    </cfRule>
    <cfRule type="containsText" dxfId="67" priority="98" stopIfTrue="1" operator="containsText" text=" ">
      <formula>NOT(ISERROR(SEARCH(" ",F20)))</formula>
    </cfRule>
    <cfRule type="containsText" dxfId="66" priority="99" stopIfTrue="1" operator="containsText" text="Block">
      <formula>NOT(ISERROR(SEARCH("Block",F20)))</formula>
    </cfRule>
    <cfRule type="containsText" dxfId="65" priority="100" stopIfTrue="1" operator="containsText" text="N">
      <formula>NOT(ISERROR(SEARCH("N",F20)))</formula>
    </cfRule>
  </conditionalFormatting>
  <conditionalFormatting sqref="G20:G21">
    <cfRule type="containsText" dxfId="64" priority="101" stopIfTrue="1" operator="containsText" text="Pass">
      <formula>NOT(ISERROR(SEARCH("Pass",G20)))</formula>
    </cfRule>
    <cfRule type="containsText" dxfId="63" priority="102" stopIfTrue="1" operator="containsText" text="Fail">
      <formula>NOT(ISERROR(SEARCH("Fail",G20)))</formula>
    </cfRule>
    <cfRule type="containsText" dxfId="62" priority="103" stopIfTrue="1" operator="containsText" text=" ">
      <formula>NOT(ISERROR(SEARCH(" ",G20)))</formula>
    </cfRule>
    <cfRule type="containsText" dxfId="61" priority="104" stopIfTrue="1" operator="containsText" text="Block">
      <formula>NOT(ISERROR(SEARCH("Block",G20)))</formula>
    </cfRule>
    <cfRule type="containsText" dxfId="60" priority="105" stopIfTrue="1" operator="containsText" text="N">
      <formula>NOT(ISERROR(SEARCH("N",G20)))</formula>
    </cfRule>
  </conditionalFormatting>
  <conditionalFormatting sqref="E20:E21">
    <cfRule type="containsText" dxfId="59" priority="61" stopIfTrue="1" operator="containsText" text="Pass">
      <formula>NOT(ISERROR(SEARCH("Pass",E20)))</formula>
    </cfRule>
    <cfRule type="containsText" dxfId="58" priority="62" stopIfTrue="1" operator="containsText" text="Fail">
      <formula>NOT(ISERROR(SEARCH("Fail",E20)))</formula>
    </cfRule>
    <cfRule type="containsText" dxfId="57" priority="63" stopIfTrue="1" operator="containsText" text=" ">
      <formula>NOT(ISERROR(SEARCH(" ",E20)))</formula>
    </cfRule>
    <cfRule type="containsText" dxfId="56" priority="64" stopIfTrue="1" operator="containsText" text="Block">
      <formula>NOT(ISERROR(SEARCH("Block",E20)))</formula>
    </cfRule>
    <cfRule type="containsText" dxfId="55" priority="65" stopIfTrue="1" operator="containsText" text="N">
      <formula>NOT(ISERROR(SEARCH("N",E20)))</formula>
    </cfRule>
  </conditionalFormatting>
  <conditionalFormatting sqref="F20:F21">
    <cfRule type="containsText" dxfId="54" priority="66" stopIfTrue="1" operator="containsText" text="Pass">
      <formula>NOT(ISERROR(SEARCH("Pass",F20)))</formula>
    </cfRule>
    <cfRule type="containsText" dxfId="53" priority="67" stopIfTrue="1" operator="containsText" text="Fail">
      <formula>NOT(ISERROR(SEARCH("Fail",F20)))</formula>
    </cfRule>
    <cfRule type="containsText" dxfId="52" priority="68" stopIfTrue="1" operator="containsText" text=" ">
      <formula>NOT(ISERROR(SEARCH(" ",F20)))</formula>
    </cfRule>
    <cfRule type="containsText" dxfId="51" priority="69" stopIfTrue="1" operator="containsText" text="Block">
      <formula>NOT(ISERROR(SEARCH("Block",F20)))</formula>
    </cfRule>
    <cfRule type="containsText" dxfId="50" priority="70" stopIfTrue="1" operator="containsText" text="N">
      <formula>NOT(ISERROR(SEARCH("N",F20)))</formula>
    </cfRule>
  </conditionalFormatting>
  <conditionalFormatting sqref="G20:G21">
    <cfRule type="containsText" dxfId="49" priority="71" stopIfTrue="1" operator="containsText" text="Pass">
      <formula>NOT(ISERROR(SEARCH("Pass",G20)))</formula>
    </cfRule>
    <cfRule type="containsText" dxfId="48" priority="72" stopIfTrue="1" operator="containsText" text="Fail">
      <formula>NOT(ISERROR(SEARCH("Fail",G20)))</formula>
    </cfRule>
    <cfRule type="containsText" dxfId="47" priority="73" stopIfTrue="1" operator="containsText" text=" ">
      <formula>NOT(ISERROR(SEARCH(" ",G20)))</formula>
    </cfRule>
    <cfRule type="containsText" dxfId="46" priority="74" stopIfTrue="1" operator="containsText" text="Block">
      <formula>NOT(ISERROR(SEARCH("Block",G20)))</formula>
    </cfRule>
    <cfRule type="containsText" dxfId="45" priority="75" stopIfTrue="1" operator="containsText" text="N">
      <formula>NOT(ISERROR(SEARCH("N",G20)))</formula>
    </cfRule>
  </conditionalFormatting>
  <conditionalFormatting sqref="D7:D19 D22:D1048576">
    <cfRule type="containsText" dxfId="44" priority="46" stopIfTrue="1" operator="containsText" text="Pass">
      <formula>NOT(ISERROR(SEARCH("Pass",D7)))</formula>
    </cfRule>
    <cfRule type="containsText" dxfId="43" priority="47" stopIfTrue="1" operator="containsText" text="Fail">
      <formula>NOT(ISERROR(SEARCH("Fail",D7)))</formula>
    </cfRule>
    <cfRule type="containsText" dxfId="42" priority="48" stopIfTrue="1" operator="containsText" text=" ">
      <formula>NOT(ISERROR(SEARCH(" ",D7)))</formula>
    </cfRule>
    <cfRule type="containsText" dxfId="41" priority="49" stopIfTrue="1" operator="containsText" text="Block">
      <formula>NOT(ISERROR(SEARCH("Block",D7)))</formula>
    </cfRule>
    <cfRule type="containsText" dxfId="40" priority="50" stopIfTrue="1" operator="containsText" text="N">
      <formula>NOT(ISERROR(SEARCH("N",D7)))</formula>
    </cfRule>
  </conditionalFormatting>
  <conditionalFormatting sqref="D20:D21">
    <cfRule type="containsText" dxfId="39" priority="41" stopIfTrue="1" operator="containsText" text="Pass">
      <formula>NOT(ISERROR(SEARCH("Pass",D20)))</formula>
    </cfRule>
    <cfRule type="containsText" dxfId="38" priority="42" stopIfTrue="1" operator="containsText" text="Fail">
      <formula>NOT(ISERROR(SEARCH("Fail",D20)))</formula>
    </cfRule>
    <cfRule type="containsText" dxfId="37" priority="43" stopIfTrue="1" operator="containsText" text=" ">
      <formula>NOT(ISERROR(SEARCH(" ",D20)))</formula>
    </cfRule>
    <cfRule type="containsText" dxfId="36" priority="44" stopIfTrue="1" operator="containsText" text="Block">
      <formula>NOT(ISERROR(SEARCH("Block",D20)))</formula>
    </cfRule>
    <cfRule type="containsText" dxfId="35" priority="45" stopIfTrue="1" operator="containsText" text="N">
      <formula>NOT(ISERROR(SEARCH("N",D20)))</formula>
    </cfRule>
  </conditionalFormatting>
  <conditionalFormatting sqref="D20:D21">
    <cfRule type="containsText" dxfId="34" priority="36" stopIfTrue="1" operator="containsText" text="Pass">
      <formula>NOT(ISERROR(SEARCH("Pass",D20)))</formula>
    </cfRule>
    <cfRule type="containsText" dxfId="33" priority="37" stopIfTrue="1" operator="containsText" text="Fail">
      <formula>NOT(ISERROR(SEARCH("Fail",D20)))</formula>
    </cfRule>
    <cfRule type="containsText" dxfId="32" priority="38" stopIfTrue="1" operator="containsText" text=" ">
      <formula>NOT(ISERROR(SEARCH(" ",D20)))</formula>
    </cfRule>
    <cfRule type="containsText" dxfId="31" priority="39" stopIfTrue="1" operator="containsText" text="Block">
      <formula>NOT(ISERROR(SEARCH("Block",D20)))</formula>
    </cfRule>
    <cfRule type="containsText" dxfId="30" priority="40" stopIfTrue="1" operator="containsText" text="N">
      <formula>NOT(ISERROR(SEARCH("N",D20)))</formula>
    </cfRule>
  </conditionalFormatting>
  <conditionalFormatting sqref="C15">
    <cfRule type="containsText" dxfId="29" priority="31" stopIfTrue="1" operator="containsText" text="Pass">
      <formula>NOT(ISERROR(SEARCH("Pass",C15)))</formula>
    </cfRule>
    <cfRule type="containsText" dxfId="28" priority="32" stopIfTrue="1" operator="containsText" text="Fail">
      <formula>NOT(ISERROR(SEARCH("Fail",C15)))</formula>
    </cfRule>
    <cfRule type="containsText" dxfId="27" priority="33" stopIfTrue="1" operator="containsText" text=" ">
      <formula>NOT(ISERROR(SEARCH(" ",C15)))</formula>
    </cfRule>
    <cfRule type="containsText" dxfId="26" priority="34" stopIfTrue="1" operator="containsText" text="Block">
      <formula>NOT(ISERROR(SEARCH("Block",C15)))</formula>
    </cfRule>
    <cfRule type="containsText" dxfId="25" priority="35" stopIfTrue="1" operator="containsText" text="N">
      <formula>NOT(ISERROR(SEARCH("N",C15)))</formula>
    </cfRule>
  </conditionalFormatting>
  <conditionalFormatting sqref="C17">
    <cfRule type="containsText" dxfId="24" priority="21" stopIfTrue="1" operator="containsText" text="Pass">
      <formula>NOT(ISERROR(SEARCH("Pass",C17)))</formula>
    </cfRule>
    <cfRule type="containsText" dxfId="23" priority="22" stopIfTrue="1" operator="containsText" text="Fail">
      <formula>NOT(ISERROR(SEARCH("Fail",C17)))</formula>
    </cfRule>
    <cfRule type="containsText" dxfId="22" priority="23" stopIfTrue="1" operator="containsText" text=" ">
      <formula>NOT(ISERROR(SEARCH(" ",C17)))</formula>
    </cfRule>
    <cfRule type="containsText" dxfId="21" priority="24" stopIfTrue="1" operator="containsText" text="Block">
      <formula>NOT(ISERROR(SEARCH("Block",C17)))</formula>
    </cfRule>
    <cfRule type="containsText" dxfId="20" priority="25" stopIfTrue="1" operator="containsText" text="N">
      <formula>NOT(ISERROR(SEARCH("N",C17)))</formula>
    </cfRule>
  </conditionalFormatting>
  <conditionalFormatting sqref="C16">
    <cfRule type="containsText" dxfId="19" priority="16" stopIfTrue="1" operator="containsText" text="Pass">
      <formula>NOT(ISERROR(SEARCH("Pass",C16)))</formula>
    </cfRule>
    <cfRule type="containsText" dxfId="18" priority="17" stopIfTrue="1" operator="containsText" text="Fail">
      <formula>NOT(ISERROR(SEARCH("Fail",C16)))</formula>
    </cfRule>
    <cfRule type="containsText" dxfId="17" priority="18" stopIfTrue="1" operator="containsText" text=" ">
      <formula>NOT(ISERROR(SEARCH(" ",C16)))</formula>
    </cfRule>
    <cfRule type="containsText" dxfId="16" priority="19" stopIfTrue="1" operator="containsText" text="Block">
      <formula>NOT(ISERROR(SEARCH("Block",C16)))</formula>
    </cfRule>
    <cfRule type="containsText" dxfId="15" priority="20" stopIfTrue="1" operator="containsText" text="N">
      <formula>NOT(ISERROR(SEARCH("N",C16)))</formula>
    </cfRule>
  </conditionalFormatting>
  <conditionalFormatting sqref="C19">
    <cfRule type="containsText" dxfId="14" priority="11" stopIfTrue="1" operator="containsText" text="Pass">
      <formula>NOT(ISERROR(SEARCH("Pass",C19)))</formula>
    </cfRule>
    <cfRule type="containsText" dxfId="13" priority="12" stopIfTrue="1" operator="containsText" text="Fail">
      <formula>NOT(ISERROR(SEARCH("Fail",C19)))</formula>
    </cfRule>
    <cfRule type="containsText" dxfId="12" priority="13" stopIfTrue="1" operator="containsText" text=" ">
      <formula>NOT(ISERROR(SEARCH(" ",C19)))</formula>
    </cfRule>
    <cfRule type="containsText" dxfId="11" priority="14" stopIfTrue="1" operator="containsText" text="Block">
      <formula>NOT(ISERROR(SEARCH("Block",C19)))</formula>
    </cfRule>
    <cfRule type="containsText" dxfId="10" priority="15" stopIfTrue="1" operator="containsText" text="N">
      <formula>NOT(ISERROR(SEARCH("N",C19)))</formula>
    </cfRule>
  </conditionalFormatting>
  <conditionalFormatting sqref="C20">
    <cfRule type="containsText" dxfId="9" priority="6" stopIfTrue="1" operator="containsText" text="Pass">
      <formula>NOT(ISERROR(SEARCH("Pass",C20)))</formula>
    </cfRule>
    <cfRule type="containsText" dxfId="8" priority="7" stopIfTrue="1" operator="containsText" text="Fail">
      <formula>NOT(ISERROR(SEARCH("Fail",C20)))</formula>
    </cfRule>
    <cfRule type="containsText" dxfId="7" priority="8" stopIfTrue="1" operator="containsText" text=" ">
      <formula>NOT(ISERROR(SEARCH(" ",C20)))</formula>
    </cfRule>
    <cfRule type="containsText" dxfId="6" priority="9" stopIfTrue="1" operator="containsText" text="Block">
      <formula>NOT(ISERROR(SEARCH("Block",C20)))</formula>
    </cfRule>
    <cfRule type="containsText" dxfId="5" priority="10" stopIfTrue="1" operator="containsText" text="N">
      <formula>NOT(ISERROR(SEARCH("N",C20)))</formula>
    </cfRule>
  </conditionalFormatting>
  <conditionalFormatting sqref="C21">
    <cfRule type="containsText" dxfId="4" priority="1" stopIfTrue="1" operator="containsText" text="Pass">
      <formula>NOT(ISERROR(SEARCH("Pass",C21)))</formula>
    </cfRule>
    <cfRule type="containsText" dxfId="3" priority="2" stopIfTrue="1" operator="containsText" text="Fail">
      <formula>NOT(ISERROR(SEARCH("Fail",C21)))</formula>
    </cfRule>
    <cfRule type="containsText" dxfId="2" priority="3" stopIfTrue="1" operator="containsText" text=" ">
      <formula>NOT(ISERROR(SEARCH(" ",C21)))</formula>
    </cfRule>
    <cfRule type="containsText" dxfId="1" priority="4" stopIfTrue="1" operator="containsText" text="Block">
      <formula>NOT(ISERROR(SEARCH("Block",C21)))</formula>
    </cfRule>
    <cfRule type="containsText" dxfId="0" priority="5" stopIfTrue="1" operator="containsText" text="N">
      <formula>NOT(ISERROR(SEARCH("N",C21)))</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1000000}">
          <x14:formula1>
            <xm:f>Summary!R$4:R$9</xm:f>
          </x14:formula1>
          <xm:sqref>C22:D1048576 C7:D19 C20:C21</xm:sqref>
        </x14:dataValidation>
        <x14:dataValidation type="list" allowBlank="1" showInputMessage="1" showErrorMessage="1" xr:uid="{00000000-0002-0000-0400-000002000000}">
          <x14:formula1>
            <xm:f>Summary!S$4:S$9</xm:f>
          </x14:formula1>
          <xm:sqref>E7:E19 E22:E1048576</xm:sqref>
        </x14:dataValidation>
        <x14:dataValidation type="list" allowBlank="1" showInputMessage="1" showErrorMessage="1" xr:uid="{00000000-0002-0000-0400-000003000000}">
          <x14:formula1>
            <xm:f>Summary!S$4:S$9</xm:f>
          </x14:formula1>
          <xm:sqref>F7:F19 F22:F1048576</xm:sqref>
        </x14:dataValidation>
        <x14:dataValidation type="list" allowBlank="1" showInputMessage="1" showErrorMessage="1" xr:uid="{00000000-0002-0000-0400-000004000000}">
          <x14:formula1>
            <xm:f>Summary!S$4:S$9</xm:f>
          </x14:formula1>
          <xm:sqref>G7:G19 G22:G1048576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64fe8c59-3550-437a-9cc1-69277fe2ea73" xsi:nil="true"/>
    <lcf76f155ced4ddcb4097134ff3c332f xmlns="6b5e1602-dcbe-44a5-9ea3-5dc638efb357">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文档" ma:contentTypeID="0x010100F3DFBA9DC7251141836E7E7015391DEF" ma:contentTypeVersion="18" ma:contentTypeDescription="新建文档。" ma:contentTypeScope="" ma:versionID="ad6b59425deeb52d448a7141fd20afbb">
  <xsd:schema xmlns:xsd="http://www.w3.org/2001/XMLSchema" xmlns:xs="http://www.w3.org/2001/XMLSchema" xmlns:p="http://schemas.microsoft.com/office/2006/metadata/properties" xmlns:ns2="6b5e1602-dcbe-44a5-9ea3-5dc638efb357" xmlns:ns3="f429a160-611f-4a41-8d16-f09bce509998" xmlns:ns4="64fe8c59-3550-437a-9cc1-69277fe2ea73" targetNamespace="http://schemas.microsoft.com/office/2006/metadata/properties" ma:root="true" ma:fieldsID="1cd17fe31d6056945f4bf6640fa8ab49" ns2:_="" ns3:_="" ns4:_="">
    <xsd:import namespace="6b5e1602-dcbe-44a5-9ea3-5dc638efb357"/>
    <xsd:import namespace="f429a160-611f-4a41-8d16-f09bce509998"/>
    <xsd:import namespace="64fe8c59-3550-437a-9cc1-69277fe2ea7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4: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b5e1602-dcbe-44a5-9ea3-5dc638efb35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图像标记" ma:readOnly="false" ma:fieldId="{5cf76f15-5ced-4ddc-b409-7134ff3c332f}" ma:taxonomyMulti="true" ma:sspId="297f403b-2b63-43ad-9c62-fa967f2a159f" ma:termSetId="09814cd3-568e-fe90-9814-8d621ff8fb84" ma:anchorId="fba54fb3-c3e1-fe81-a776-ca4b69148c4d" ma:open="true" ma:isKeyword="false">
      <xsd:complexType>
        <xsd:sequence>
          <xsd:element ref="pc:Terms" minOccurs="0" maxOccurs="1"/>
        </xsd:sequence>
      </xsd:complex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429a160-611f-4a41-8d16-f09bce509998" elementFormDefault="qualified">
    <xsd:import namespace="http://schemas.microsoft.com/office/2006/documentManagement/types"/>
    <xsd:import namespace="http://schemas.microsoft.com/office/infopath/2007/PartnerControls"/>
    <xsd:element name="SharedWithUsers" ma:index="12" nillable="true" ma:displayName="共享对象:"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共享对象详细信息"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4fe8c59-3550-437a-9cc1-69277fe2ea73"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b8c25bc8-1e9b-436f-95e7-d92d004911e3}" ma:internalName="TaxCatchAll" ma:showField="CatchAllData" ma:web="f429a160-611f-4a41-8d16-f09bce50999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内容类型"/>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168E42F-C4A0-4353-87A5-BDAF71671DD1}"/>
</file>

<file path=customXml/itemProps2.xml><?xml version="1.0" encoding="utf-8"?>
<ds:datastoreItem xmlns:ds="http://schemas.openxmlformats.org/officeDocument/2006/customXml" ds:itemID="{E9402285-A626-4201-B53A-A7113A4BDC93}"/>
</file>

<file path=customXml/itemProps3.xml><?xml version="1.0" encoding="utf-8"?>
<ds:datastoreItem xmlns:ds="http://schemas.openxmlformats.org/officeDocument/2006/customXml" ds:itemID="{00604BFA-E9D1-46F2-B93D-AF4B699D4CAC}"/>
</file>

<file path=docProps/app.xml><?xml version="1.0" encoding="utf-8"?>
<Properties xmlns="http://schemas.openxmlformats.org/officeDocument/2006/extended-properties" xmlns:vt="http://schemas.openxmlformats.org/officeDocument/2006/docPropsVTypes">
  <Application>Microsoft Excel Online</Application>
  <Manager/>
  <Company>Hewlett-Packard</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Caparas, Rolando</dc:creator>
  <cp:keywords/>
  <dc:description/>
  <cp:lastModifiedBy>Shih, Mika</cp:lastModifiedBy>
  <cp:revision/>
  <dcterms:created xsi:type="dcterms:W3CDTF">2006-02-14T17:35:43Z</dcterms:created>
  <dcterms:modified xsi:type="dcterms:W3CDTF">2024-03-18T06:28:44Z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0x010100F3DFBA9DC7251141836E7E7015391DEF</vt:lpwstr>
  </property>
</Properties>
</file>