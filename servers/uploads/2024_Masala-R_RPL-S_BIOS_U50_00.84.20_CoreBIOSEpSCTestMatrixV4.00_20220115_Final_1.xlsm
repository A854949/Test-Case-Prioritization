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8.xml" ContentType="application/vnd.ms-office.activeX+xml"/>
  <Override PartName="/xl/activeX/activeX7.xml" ContentType="application/vnd.ms-office.activeX+xml"/>
  <Override PartName="/xl/activeX/activeX6.xml" ContentType="application/vnd.ms-office.activeX+xml"/>
  <Override PartName="/xl/activeX/activeX5.xml" ContentType="application/vnd.ms-office.activeX+xml"/>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9.xml" ContentType="application/vnd.ms-office.activeX+xml"/>
  <Override PartName="/xl/activeX/activeX8.bin" ContentType="application/vnd.ms-office.activeX"/>
  <Override PartName="/xl/activeX/activeX7.bin" ContentType="application/vnd.ms-office.activeX"/>
  <Override PartName="/xl/activeX/activeX6.bin" ContentType="application/vnd.ms-office.activeX"/>
  <Override PartName="/xl/activeX/activeX5.bin" ContentType="application/vnd.ms-office.activeX"/>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Override PartName="/xl/activeX/activeX9.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ICC19C918\Desktop\"/>
    </mc:Choice>
  </mc:AlternateContent>
  <xr:revisionPtr revIDLastSave="0" documentId="11_5436B51877C1BBEDA8D4718DB2A0964900D8E475" xr6:coauthVersionLast="47" xr6:coauthVersionMax="47" xr10:uidLastSave="{00000000-0000-0000-0000-000000000000}"/>
  <bookViews>
    <workbookView xWindow="-110" yWindow="-110" windowWidth="19420" windowHeight="10420" tabRatio="684" firstSheet="2" activeTab="2" xr2:uid="{00000000-000D-0000-FFFF-FFFF00000000}"/>
  </bookViews>
  <sheets>
    <sheet name="ChangeLog" sheetId="43" state="hidden" r:id="rId1"/>
    <sheet name="Cover" sheetId="6" r:id="rId2"/>
    <sheet name="Summary" sheetId="16" r:id="rId3"/>
    <sheet name="CoreTestCase" sheetId="44" r:id="rId4"/>
    <sheet name="EpSCTestCase" sheetId="45" r:id="rId5"/>
  </sheets>
  <externalReferences>
    <externalReference r:id="rId6"/>
  </externalReferences>
  <definedNames>
    <definedName name="_xlnm.Criteria">#REF!</definedName>
    <definedName name="_xlnm.Database">#REF!</definedName>
    <definedName name="_xlnm.Extract">#REF!</definedName>
    <definedName name="PctComplete">'[1]Test Summary'!#REF!</definedName>
    <definedName name="PrcntComplete">'[1]Test Summary'!#REF!</definedName>
    <definedName name="Print_titl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8" i="45" l="1"/>
  <c r="H77" i="45"/>
  <c r="H76" i="45"/>
  <c r="H75" i="45"/>
  <c r="H74" i="45"/>
  <c r="H73" i="45"/>
  <c r="H72" i="45"/>
  <c r="H71" i="45"/>
  <c r="H70" i="45"/>
  <c r="H69" i="45"/>
  <c r="H68" i="45"/>
  <c r="H67" i="45"/>
  <c r="H66" i="45"/>
  <c r="H65" i="45"/>
  <c r="H64" i="45"/>
  <c r="H63" i="45"/>
  <c r="H62" i="45"/>
  <c r="H61" i="45"/>
  <c r="H60" i="45"/>
  <c r="H59" i="45"/>
  <c r="H58" i="45"/>
  <c r="H57" i="45"/>
  <c r="H56" i="45"/>
  <c r="H55" i="45"/>
  <c r="H54" i="45"/>
  <c r="H53" i="45"/>
  <c r="H52" i="45"/>
  <c r="H51" i="45"/>
  <c r="H50" i="45"/>
  <c r="H49" i="45"/>
  <c r="H48" i="45"/>
  <c r="H47" i="45"/>
  <c r="H46" i="45"/>
  <c r="H45" i="45"/>
  <c r="H44" i="45"/>
  <c r="H43" i="45"/>
  <c r="H42" i="45"/>
  <c r="H41" i="45"/>
  <c r="H40" i="45"/>
  <c r="H39" i="45"/>
  <c r="H38" i="45"/>
  <c r="H37" i="45"/>
  <c r="H36" i="45"/>
  <c r="H35" i="45"/>
  <c r="H34" i="45"/>
  <c r="H33" i="45"/>
  <c r="H32" i="45"/>
  <c r="H31" i="45"/>
  <c r="H30" i="45"/>
  <c r="H29" i="45"/>
  <c r="H28" i="45"/>
  <c r="H27" i="45"/>
  <c r="H26" i="45"/>
  <c r="H25" i="45"/>
  <c r="H24" i="45"/>
  <c r="H23" i="45"/>
  <c r="H22" i="45"/>
  <c r="H21" i="45"/>
  <c r="H20" i="45"/>
  <c r="H19" i="45"/>
  <c r="H18" i="45"/>
  <c r="H17" i="45"/>
  <c r="H16" i="45"/>
  <c r="H15" i="45"/>
  <c r="H14" i="45"/>
  <c r="H13" i="45"/>
  <c r="H12" i="45"/>
  <c r="H11" i="45"/>
  <c r="H10" i="45"/>
  <c r="H9" i="45"/>
  <c r="H8" i="45"/>
  <c r="H7" i="45"/>
  <c r="H325" i="44"/>
  <c r="H324" i="44"/>
  <c r="H323" i="44"/>
  <c r="H322" i="44"/>
  <c r="H321" i="44"/>
  <c r="H320" i="44"/>
  <c r="H319" i="44"/>
  <c r="H318" i="44"/>
  <c r="H317" i="44"/>
  <c r="H316" i="44"/>
  <c r="H315" i="44"/>
  <c r="H314" i="44"/>
  <c r="H313" i="44"/>
  <c r="H312" i="44"/>
  <c r="H311" i="44"/>
  <c r="H310" i="44"/>
  <c r="H309" i="44"/>
  <c r="H308" i="44"/>
  <c r="H307" i="44"/>
  <c r="H306" i="44"/>
  <c r="H305" i="44"/>
  <c r="H304" i="44"/>
  <c r="H303" i="44"/>
  <c r="H302" i="44"/>
  <c r="H301" i="44"/>
  <c r="H300" i="44"/>
  <c r="H299" i="44"/>
  <c r="H298" i="44"/>
  <c r="H297" i="44"/>
  <c r="H296" i="44"/>
  <c r="H295" i="44"/>
  <c r="H294" i="44"/>
  <c r="H293" i="44"/>
  <c r="H292" i="44"/>
  <c r="H291" i="44"/>
  <c r="H290" i="44"/>
  <c r="H289" i="44"/>
  <c r="H288" i="44"/>
  <c r="H287" i="44"/>
  <c r="H286" i="44"/>
  <c r="H285" i="44"/>
  <c r="H284" i="44"/>
  <c r="H283" i="44"/>
  <c r="H282" i="44"/>
  <c r="H281" i="44"/>
  <c r="H280" i="44"/>
  <c r="H279" i="44"/>
  <c r="H278" i="44"/>
  <c r="H277" i="44"/>
  <c r="H276" i="44"/>
  <c r="H275" i="44"/>
  <c r="H274" i="44"/>
  <c r="H273" i="44"/>
  <c r="H272" i="44"/>
  <c r="H271" i="44"/>
  <c r="H270" i="44"/>
  <c r="H269" i="44"/>
  <c r="H268" i="44"/>
  <c r="H267" i="44"/>
  <c r="H266" i="44"/>
  <c r="H265" i="44"/>
  <c r="H264" i="44"/>
  <c r="H263" i="44"/>
  <c r="H262" i="44"/>
  <c r="H261" i="44"/>
  <c r="H260" i="44"/>
  <c r="H259" i="44"/>
  <c r="H258" i="44"/>
  <c r="H257" i="44"/>
  <c r="H256" i="44"/>
  <c r="H255" i="44"/>
  <c r="H254" i="44"/>
  <c r="H253" i="44"/>
  <c r="H252" i="44"/>
  <c r="H251" i="44"/>
  <c r="H250" i="44"/>
  <c r="H249" i="44"/>
  <c r="H248" i="44"/>
  <c r="H247" i="44"/>
  <c r="H246" i="44"/>
  <c r="H245" i="44"/>
  <c r="H244" i="44"/>
  <c r="H243" i="44"/>
  <c r="H242" i="44"/>
  <c r="H241" i="44"/>
  <c r="H240" i="44"/>
  <c r="H239" i="44"/>
  <c r="H238" i="44"/>
  <c r="H237" i="44"/>
  <c r="H236" i="44"/>
  <c r="H235" i="44"/>
  <c r="H234" i="44"/>
  <c r="H233" i="44"/>
  <c r="H232" i="44"/>
  <c r="H231" i="44"/>
  <c r="H230" i="44"/>
  <c r="H229" i="44"/>
  <c r="H228" i="44"/>
  <c r="H227" i="44"/>
  <c r="H226" i="44"/>
  <c r="H225" i="44"/>
  <c r="H224" i="44"/>
  <c r="H223" i="44"/>
  <c r="H222" i="44"/>
  <c r="H221" i="44"/>
  <c r="H220" i="44"/>
  <c r="H219" i="44"/>
  <c r="H218" i="44"/>
  <c r="H217" i="44"/>
  <c r="H216" i="44"/>
  <c r="H215" i="44"/>
  <c r="H214" i="44"/>
  <c r="H213" i="44"/>
  <c r="H212" i="44"/>
  <c r="H211" i="44"/>
  <c r="H210" i="44"/>
  <c r="H209" i="44"/>
  <c r="H208" i="44"/>
  <c r="H207" i="44"/>
  <c r="H206" i="44"/>
  <c r="H205" i="44"/>
  <c r="H204" i="44"/>
  <c r="H203" i="44"/>
  <c r="H202" i="44"/>
  <c r="H201" i="44"/>
  <c r="H200" i="44"/>
  <c r="H199" i="44"/>
  <c r="H198" i="44"/>
  <c r="H197" i="44"/>
  <c r="H196" i="44"/>
  <c r="H195" i="44"/>
  <c r="H194" i="44"/>
  <c r="H193" i="44"/>
  <c r="H192" i="44"/>
  <c r="H191" i="44"/>
  <c r="H190" i="44"/>
  <c r="H189" i="44"/>
  <c r="H188" i="44"/>
  <c r="H187" i="44"/>
  <c r="H186" i="44"/>
  <c r="H185" i="44"/>
  <c r="H184" i="44"/>
  <c r="H183" i="44"/>
  <c r="H182" i="44"/>
  <c r="H181" i="44"/>
  <c r="H180" i="44"/>
  <c r="H179" i="44"/>
  <c r="H178" i="44"/>
  <c r="H177" i="44"/>
  <c r="H176" i="44"/>
  <c r="H175" i="44"/>
  <c r="H174" i="44"/>
  <c r="H173" i="44"/>
  <c r="H172" i="44"/>
  <c r="H171" i="44"/>
  <c r="H170" i="44"/>
  <c r="H169" i="44"/>
  <c r="H168" i="44"/>
  <c r="H167" i="44"/>
  <c r="H166" i="44"/>
  <c r="H165" i="44"/>
  <c r="H164" i="44"/>
  <c r="H163" i="44"/>
  <c r="H162" i="44"/>
  <c r="H161" i="44"/>
  <c r="H160" i="44"/>
  <c r="H159" i="44"/>
  <c r="H158" i="44"/>
  <c r="H157" i="44"/>
  <c r="H156" i="44"/>
  <c r="H155" i="44"/>
  <c r="H154" i="44"/>
  <c r="H153" i="44"/>
  <c r="H152" i="44"/>
  <c r="H151" i="44"/>
  <c r="H150" i="44"/>
  <c r="H149" i="44"/>
  <c r="H148" i="44"/>
  <c r="H147" i="44"/>
  <c r="H146" i="44"/>
  <c r="H145" i="44"/>
  <c r="H144" i="44"/>
  <c r="H143" i="44"/>
  <c r="H142" i="44"/>
  <c r="H141" i="44"/>
  <c r="H140" i="44"/>
  <c r="H139" i="44"/>
  <c r="H138" i="44"/>
  <c r="H137" i="44"/>
  <c r="H136" i="44"/>
  <c r="H135" i="44"/>
  <c r="H134" i="44"/>
  <c r="H133" i="44"/>
  <c r="H132" i="44"/>
  <c r="H131" i="44"/>
  <c r="H130" i="44"/>
  <c r="H129" i="44"/>
  <c r="H128" i="44"/>
  <c r="H127" i="44"/>
  <c r="H126" i="44"/>
  <c r="H125" i="44"/>
  <c r="H124" i="44"/>
  <c r="H123" i="44"/>
  <c r="H122" i="44"/>
  <c r="H121" i="44"/>
  <c r="H120" i="44"/>
  <c r="H119" i="44"/>
  <c r="H118" i="44"/>
  <c r="H117" i="44"/>
  <c r="H116" i="44"/>
  <c r="H115" i="44"/>
  <c r="H114" i="44"/>
  <c r="H113" i="44"/>
  <c r="H112" i="44"/>
  <c r="H111" i="44"/>
  <c r="H110" i="44"/>
  <c r="H109" i="44"/>
  <c r="H108" i="44"/>
  <c r="H107" i="44"/>
  <c r="H106" i="44"/>
  <c r="H105" i="44"/>
  <c r="H104" i="44"/>
  <c r="H103" i="44"/>
  <c r="H102" i="44"/>
  <c r="H101" i="44"/>
  <c r="H100" i="44"/>
  <c r="H99" i="44"/>
  <c r="H98" i="44"/>
  <c r="H97" i="44"/>
  <c r="H96" i="44"/>
  <c r="H95" i="44"/>
  <c r="H94" i="44"/>
  <c r="H93" i="44"/>
  <c r="H92" i="44"/>
  <c r="H91" i="44"/>
  <c r="H90" i="44"/>
  <c r="H89" i="44"/>
  <c r="H88" i="44"/>
  <c r="H87" i="44"/>
  <c r="H86" i="44"/>
  <c r="H85" i="44"/>
  <c r="H84" i="44"/>
  <c r="H83" i="44"/>
  <c r="H82" i="44"/>
  <c r="H81" i="44"/>
  <c r="H80" i="44"/>
  <c r="H79" i="44"/>
  <c r="H78" i="44"/>
  <c r="H77" i="44"/>
  <c r="H76" i="44"/>
  <c r="H75" i="44"/>
  <c r="H74" i="44"/>
  <c r="H73" i="44"/>
  <c r="H72" i="44"/>
  <c r="H71" i="44"/>
  <c r="H70" i="44"/>
  <c r="H69" i="44"/>
  <c r="H68" i="44"/>
  <c r="H67" i="44"/>
  <c r="H66" i="44"/>
  <c r="H65" i="44"/>
  <c r="H64" i="44"/>
  <c r="H63" i="44"/>
  <c r="H62" i="44"/>
  <c r="H61" i="44"/>
  <c r="H60" i="44"/>
  <c r="H59" i="44"/>
  <c r="H58" i="44"/>
  <c r="H57" i="44"/>
  <c r="H56" i="44"/>
  <c r="H55" i="44"/>
  <c r="H54" i="44"/>
  <c r="H53" i="44"/>
  <c r="H52" i="44"/>
  <c r="H51" i="44"/>
  <c r="H50" i="44"/>
  <c r="H49" i="44"/>
  <c r="H48" i="44"/>
  <c r="H47" i="44"/>
  <c r="H46" i="44"/>
  <c r="H45" i="44"/>
  <c r="H44" i="44"/>
  <c r="H43" i="44"/>
  <c r="H42" i="44"/>
  <c r="H41" i="44"/>
  <c r="H40" i="44"/>
  <c r="H39" i="44"/>
  <c r="H38" i="44"/>
  <c r="H37" i="44"/>
  <c r="H36" i="44"/>
  <c r="H35" i="44"/>
  <c r="H34" i="44"/>
  <c r="H33" i="44"/>
  <c r="H32" i="44"/>
  <c r="H31" i="44"/>
  <c r="H30" i="44"/>
  <c r="H29" i="44"/>
  <c r="H28" i="44"/>
  <c r="H27" i="44"/>
  <c r="H26" i="44"/>
  <c r="H25" i="44"/>
  <c r="H24" i="44"/>
  <c r="H23" i="44"/>
  <c r="H22" i="44"/>
  <c r="H21" i="44"/>
  <c r="H20" i="44"/>
  <c r="H19" i="44"/>
  <c r="H18" i="44"/>
  <c r="H17" i="44"/>
  <c r="H16" i="44"/>
  <c r="H15" i="44"/>
  <c r="H14" i="44"/>
  <c r="H13" i="44"/>
  <c r="H12" i="44"/>
  <c r="H11" i="44"/>
  <c r="H10" i="44"/>
  <c r="H9" i="44"/>
  <c r="H8" i="44"/>
  <c r="H7" i="44"/>
  <c r="L6" i="44" l="1"/>
  <c r="I7" i="16" s="1"/>
  <c r="L5" i="44"/>
  <c r="G7" i="16" s="1"/>
  <c r="L8" i="44"/>
  <c r="L7" i="16" s="1"/>
  <c r="L4" i="45"/>
  <c r="F9" i="16" s="1"/>
  <c r="L7" i="45"/>
  <c r="J9" i="16" s="1"/>
  <c r="L9" i="44"/>
  <c r="M7" i="16" s="1"/>
  <c r="L4" i="44"/>
  <c r="F7" i="16" s="1"/>
  <c r="L7" i="44"/>
  <c r="J7" i="16" s="1"/>
  <c r="L9" i="45"/>
  <c r="M9" i="16" s="1"/>
  <c r="L8" i="45"/>
  <c r="L9" i="16" s="1"/>
  <c r="L5" i="45"/>
  <c r="G9" i="16" s="1"/>
  <c r="L6" i="45"/>
  <c r="I9" i="16" s="1"/>
  <c r="O8" i="6"/>
  <c r="I5" i="16" l="1"/>
  <c r="J8" i="16"/>
  <c r="M5" i="16"/>
  <c r="L5" i="16"/>
  <c r="F5" i="16"/>
  <c r="B5" i="16"/>
  <c r="C9" i="16"/>
  <c r="F10" i="16" s="1"/>
  <c r="L10" i="16"/>
  <c r="K5" i="16"/>
  <c r="J10" i="16"/>
  <c r="G5" i="16"/>
  <c r="H5" i="16"/>
  <c r="L8" i="16" l="1"/>
  <c r="C7" i="16"/>
  <c r="G8" i="16" s="1"/>
  <c r="J5" i="16"/>
  <c r="J6" i="16" s="1"/>
  <c r="D9" i="16"/>
  <c r="E9" i="16" s="1"/>
  <c r="E10" i="16" s="1"/>
  <c r="G10" i="16"/>
  <c r="H10" i="16"/>
  <c r="I10" i="16"/>
  <c r="M6" i="16"/>
  <c r="L6" i="16"/>
  <c r="C5" i="16" l="1"/>
  <c r="I6" i="16" s="1"/>
  <c r="H8" i="16"/>
  <c r="I8" i="16"/>
  <c r="D7" i="16"/>
  <c r="E7" i="16" s="1"/>
  <c r="E8" i="16" s="1"/>
  <c r="F8" i="16"/>
  <c r="G6" i="16" l="1"/>
  <c r="H6" i="16"/>
  <c r="F6" i="16"/>
  <c r="D5" i="16"/>
  <c r="E5" i="16" s="1"/>
  <c r="E6" i="16" s="1"/>
</calcChain>
</file>

<file path=xl/sharedStrings.xml><?xml version="1.0" encoding="utf-8"?>
<sst xmlns="http://schemas.openxmlformats.org/spreadsheetml/2006/main" count="1458" uniqueCount="943">
  <si>
    <t>Auto Gen Program Change Log</t>
  </si>
  <si>
    <t>Version</t>
  </si>
  <si>
    <t>Date</t>
  </si>
  <si>
    <t>Author</t>
  </si>
  <si>
    <t>Change Detail</t>
  </si>
  <si>
    <t>V4.00</t>
  </si>
  <si>
    <t>Eric Wang</t>
  </si>
  <si>
    <t xml:space="preserve">V4.00 for 2024 test plan </t>
  </si>
  <si>
    <t>V3.00</t>
  </si>
  <si>
    <t xml:space="preserve">V3.00 for 2023 test plan </t>
  </si>
  <si>
    <t>V2.03</t>
  </si>
  <si>
    <t>Fix Core/EpSC for 2022 column</t>
  </si>
  <si>
    <t>V2.02</t>
  </si>
  <si>
    <t>Fix EpSC in 2021 column, Core Excel v6.58 had mark in 2021</t>
  </si>
  <si>
    <t>V2.01</t>
  </si>
  <si>
    <t>Fix EpSC, due to no mark in 2021 column for Section 8, use 2020 for instead</t>
  </si>
  <si>
    <t>V2.00</t>
  </si>
  <si>
    <t>V2.00 for 2021 BIOS Test Plan release</t>
  </si>
  <si>
    <t>V1.05</t>
  </si>
  <si>
    <t>Add DB Check List
Fix Summary count issue cause by V1.03</t>
  </si>
  <si>
    <t>V1.04</t>
  </si>
  <si>
    <t>Modify the 2020 year colum for V6.26 EpSC</t>
  </si>
  <si>
    <t>V1.03</t>
  </si>
  <si>
    <t>Add more version rows</t>
  </si>
  <si>
    <t>V1.02</t>
  </si>
  <si>
    <t>Add 2 more column for Result</t>
  </si>
  <si>
    <t>V1.01</t>
  </si>
  <si>
    <t>Add auto calculate and BIOS version at row 1
Add User Guide</t>
  </si>
  <si>
    <t>V1.00</t>
  </si>
  <si>
    <t>First Initial release</t>
  </si>
  <si>
    <t>2019 BIOS Test Plan</t>
  </si>
  <si>
    <t>Commercial BIOS Validation</t>
  </si>
  <si>
    <t>Platforms:</t>
  </si>
  <si>
    <t>2024 System</t>
  </si>
  <si>
    <t>Notice
1. Please Open the Reference Excel
2. Insert File Name with Subfile name         ex: .xlsx
3. Select Type/Target
4. Click "Create" Button
5. Click "Set Summary" Button
6. V2.00 support Core/EpSC V6.56 
7. V2.02 support Core/EpSC V6.58
8. V2.03 support Core/EpSC V6.102
9. V3.00 support 2023 platform from Core/EpSC V6.144
10. V4.00 support 2024 platform from Core/EpSC V6.184</t>
  </si>
  <si>
    <t>ROM Family:</t>
  </si>
  <si>
    <t>U50</t>
    <phoneticPr fontId="37" type="noConversion"/>
  </si>
  <si>
    <t>Test Matrix:</t>
  </si>
  <si>
    <t xml:space="preserve">2024 Core BIOS EpSC Test Plan </t>
  </si>
  <si>
    <t>Please Input Below</t>
  </si>
  <si>
    <t>Reference File Name:</t>
  </si>
  <si>
    <t>Test Target:</t>
  </si>
  <si>
    <t>Test Type:</t>
  </si>
  <si>
    <t>BIOS Test Plan</t>
  </si>
  <si>
    <t>Gondor Core Test Plan</t>
  </si>
  <si>
    <t>CYCLE SUMMARY</t>
  </si>
  <si>
    <t>Total Number of Available Tests:</t>
  </si>
  <si>
    <t>Total Number of Planned Tests:</t>
  </si>
  <si>
    <t>Remaining Tests:</t>
  </si>
  <si>
    <t>Total Complete:</t>
  </si>
  <si>
    <t>Passed (P):</t>
  </si>
  <si>
    <t>Failed (F):</t>
  </si>
  <si>
    <t>Under Investigation (I):</t>
  </si>
  <si>
    <t>Blocked (B):</t>
  </si>
  <si>
    <t>Not Applicable (NA):</t>
  </si>
  <si>
    <t>Not Planned (NP):</t>
  </si>
  <si>
    <t>Not Supported (NS):</t>
  </si>
  <si>
    <t>Pass</t>
  </si>
  <si>
    <t>Overall</t>
  </si>
  <si>
    <t>Fail</t>
  </si>
  <si>
    <t>Block</t>
  </si>
  <si>
    <t>Core BIOS</t>
  </si>
  <si>
    <t>NA</t>
  </si>
  <si>
    <t>NP</t>
  </si>
  <si>
    <t>Core EC_SIO</t>
  </si>
  <si>
    <t>NS</t>
  </si>
  <si>
    <t>Please Insert BIOS Version Upon the Result Column-&gt;</t>
  </si>
  <si>
    <t>00.84.20</t>
    <phoneticPr fontId="37" type="noConversion"/>
  </si>
  <si>
    <t>BIOS Version</t>
  </si>
  <si>
    <t>Please Insert Core Sprint Version Upon the Result Column-&gt;</t>
  </si>
  <si>
    <t>23-25</t>
    <phoneticPr fontId="37" type="noConversion"/>
  </si>
  <si>
    <t>Core Sprint Version</t>
  </si>
  <si>
    <t>Please Insert Core/EpSC Test Plan Version Upon the Result Column-&gt;</t>
  </si>
  <si>
    <t>6.207</t>
    <phoneticPr fontId="37" type="noConversion"/>
  </si>
  <si>
    <t>TestPlanVersion Version</t>
  </si>
  <si>
    <t>Please Insert Winpvt Version Upon the Result Column-&gt;</t>
  </si>
  <si>
    <t>11.12</t>
    <phoneticPr fontId="37" type="noConversion"/>
  </si>
  <si>
    <t>Winpvt Version</t>
  </si>
  <si>
    <t>Please Insert Script Version Upon the Result Column-&gt;</t>
  </si>
  <si>
    <t>7.79/7.80</t>
    <phoneticPr fontId="37" type="noConversion"/>
  </si>
  <si>
    <t>Script Version</t>
  </si>
  <si>
    <t>Test Case Number</t>
  </si>
  <si>
    <t>Test Case Name</t>
  </si>
  <si>
    <t>Result</t>
  </si>
  <si>
    <t>Total Result</t>
  </si>
  <si>
    <t>Comment</t>
  </si>
  <si>
    <t>2-2</t>
  </si>
  <si>
    <t>Multi CPU’s and Memory Channels</t>
  </si>
  <si>
    <t>2-5, 2-6</t>
  </si>
  <si>
    <t>Fastboot: Make necessary changes for F10 option  and Skip non-HDD boot options - UEFI</t>
  </si>
  <si>
    <t>2-20</t>
  </si>
  <si>
    <t>Save Custom Defaults settings using F10/ BiosConfigUtility.exe</t>
  </si>
  <si>
    <t>2-21</t>
  </si>
  <si>
    <t>APPLY FACTORY DEFAULTS</t>
  </si>
  <si>
    <t>2-19</t>
  </si>
  <si>
    <t>Save Changes and Exit</t>
  </si>
  <si>
    <t>2-23</t>
  </si>
  <si>
    <t>F10 PS2 USB keyboard and Mice Validation</t>
    <phoneticPr fontId="37" type="noConversion"/>
  </si>
  <si>
    <t>2-25-3</t>
  </si>
  <si>
    <t>Power Control Stress Test</t>
  </si>
  <si>
    <t>2-26</t>
  </si>
  <si>
    <t>Stringent Password WMI</t>
  </si>
  <si>
    <t>Remove the Password Jumper from the Test Unit Motherboard</t>
  </si>
  <si>
    <t>2-28</t>
  </si>
  <si>
    <t>F10 – Intel Test Hook – vt - vtx</t>
  </si>
  <si>
    <t>2-30</t>
  </si>
  <si>
    <t>Ready To Boot Event Signal Through UEFI DOK</t>
  </si>
  <si>
    <t>SIO2241294 - [Teas-R2][Masala-R2][Refresh][U50_008320][Func][2-30 Step:9][B]:Cannot enter shell environment when run "Ready to Boot Event signal through UEFI_Automated.pvt".</t>
    <phoneticPr fontId="37" type="noConversion"/>
  </si>
  <si>
    <t>2-35</t>
  </si>
  <si>
    <t>System Information via F1</t>
  </si>
  <si>
    <t>2-37</t>
  </si>
  <si>
    <t>F10 Replicated Save and Restore Settings</t>
  </si>
  <si>
    <t>2-38</t>
  </si>
  <si>
    <t>WMI--IS BRANDING READY FOR MPM LOCK</t>
  </si>
  <si>
    <t>2-36</t>
  </si>
  <si>
    <t>Suppress Post Error Messages</t>
  </si>
  <si>
    <t>2-42</t>
  </si>
  <si>
    <t>PCIe SSD Support</t>
  </si>
  <si>
    <t>2-43</t>
  </si>
  <si>
    <t>F12 Network Boot Menu</t>
  </si>
  <si>
    <t>2-51</t>
  </si>
  <si>
    <t>Selectively Restrict USB Device Class</t>
  </si>
  <si>
    <t>2-65</t>
  </si>
  <si>
    <t>ADD BASE SKU NUMBER AND EC VERSION IN SYSTEM INFO</t>
  </si>
  <si>
    <t>2-66</t>
  </si>
  <si>
    <t>F10 Enhancement Use Balloon popup for F3 help</t>
  </si>
  <si>
    <t>2-67</t>
  </si>
  <si>
    <t>F10 ENHANCEMENT:  ENSURE THE HP STRINGS FOR THE 3RD PARTY OPROM APPLICATIONS HAVE BEEN TRANSLATED OR DEFAULT TO ENGLISH</t>
  </si>
  <si>
    <t>2-68</t>
  </si>
  <si>
    <t>F10 ENHANCEMENT - ADD TEXT WRAPPING TO LIST BOX SUPPORT</t>
  </si>
  <si>
    <t>2-69</t>
  </si>
  <si>
    <t>SUPPORT FOR REPORTING MEMORY REFERENCE CODE REVISION</t>
  </si>
  <si>
    <t>2-70</t>
  </si>
  <si>
    <t>POST ENHANCEMENT CHANGE STARTUP MENU DELAY TO STARTUP DELAY</t>
  </si>
  <si>
    <t>2-71</t>
  </si>
  <si>
    <t>Set Date and Time in BIOS</t>
  </si>
  <si>
    <t>2-72</t>
  </si>
  <si>
    <t>ALLOW DISABLING INDIVIDUAL BOOT OPTIONS IN UEFI AND LEGACY BOOT ORDER – INTERNAL LOGIC TO DISABLE OR ENABLED BOOT DEVICES</t>
  </si>
  <si>
    <t>2-73</t>
  </si>
  <si>
    <t>Memory Leak Prevention</t>
  </si>
  <si>
    <t>2-74</t>
  </si>
  <si>
    <t xml:space="preserve">ALLOW DISABLING INDIVIDUAL BOOT OPTIONS IN UEFI AND LEGACY BOOT ORDER – F10 TOUCH AND MOUSE SUPPORT </t>
  </si>
  <si>
    <t>2-76</t>
  </si>
  <si>
    <t>Add ME Mode information to Advanced Information (Intel 2017)</t>
  </si>
  <si>
    <t>2-77</t>
  </si>
  <si>
    <t>BIOS Audit Log-F10 and WMI Interface (2017)</t>
  </si>
  <si>
    <t>2-79</t>
  </si>
  <si>
    <t>Remote Diagnostics</t>
  </si>
  <si>
    <t>2-80</t>
  </si>
  <si>
    <t>RAID and Optane Default Settings</t>
  </si>
  <si>
    <t>Configure Storage Controller for RAID.</t>
  </si>
  <si>
    <t>2-81</t>
  </si>
  <si>
    <t>Honor BootOrder/BootNext Even When Fast Boot is Enabled</t>
  </si>
  <si>
    <t>2-84</t>
  </si>
  <si>
    <t>BIOS Event Logs</t>
  </si>
  <si>
    <t>2-85</t>
  </si>
  <si>
    <t>Advanced System Information Storage / CPU</t>
  </si>
  <si>
    <t>2-86</t>
  </si>
  <si>
    <t>Add Russian Language Support</t>
  </si>
  <si>
    <t>2-87</t>
  </si>
  <si>
    <t>Increase product Name from 40 characters to 60 characters</t>
  </si>
  <si>
    <t>2-88</t>
  </si>
  <si>
    <t>TEXT MODE SUPPORT FOR BIOS PREBOOT UI’S</t>
  </si>
  <si>
    <t>Testing is only supported by the Houston Test Team</t>
  </si>
  <si>
    <t>2-96</t>
  </si>
  <si>
    <t>[DCR 300477–300505] To add an option in F10 to prevent Ipv6 package broadcasting during the preboot phase</t>
  </si>
  <si>
    <t>3-6</t>
  </si>
  <si>
    <t>TPM F10 and Enter TPM</t>
  </si>
  <si>
    <t>3-11</t>
  </si>
  <si>
    <t>Restore Security Defaults - Production BIOS Only</t>
  </si>
  <si>
    <t>Production BIOS Only</t>
    <phoneticPr fontId="37" type="noConversion"/>
  </si>
  <si>
    <t>3-11-2</t>
  </si>
  <si>
    <t>Restore Security Defaults - Automation</t>
  </si>
  <si>
    <t>3-13</t>
  </si>
  <si>
    <t>Power-on Password Authentication with WMI Support</t>
  </si>
  <si>
    <t>3-15</t>
  </si>
  <si>
    <t>Power-On Password Prompt &amp; Authentication Setup</t>
  </si>
  <si>
    <t>3-16</t>
  </si>
  <si>
    <t>Wake-On-Lan Special Boot and Skip Power-On-Password</t>
  </si>
  <si>
    <t>3-17</t>
  </si>
  <si>
    <t>TPM Set to Factory Default</t>
  </si>
  <si>
    <t>3-20</t>
  </si>
  <si>
    <t>TPM DISABLE AUTO-PROVISION PPI BEHAVIOR</t>
  </si>
  <si>
    <t>3-23</t>
  </si>
  <si>
    <t>Featurebyte TPM disable (kill)</t>
  </si>
  <si>
    <t>3-24</t>
  </si>
  <si>
    <t>Setup TPM Device Control (Available/Hidden)</t>
  </si>
  <si>
    <t>SIO2241294 - [Teas-R2][Masala-R2][Refresh][U50_008320][Func][2-30 Step:9][B]:Cannot enter shell environment when run "Ready to Boot Event signal through UEFI_Automated.pvt".</t>
  </si>
  <si>
    <t>3-14</t>
  </si>
  <si>
    <t>Win8.1 Boot to Firmware</t>
  </si>
  <si>
    <t>3-26</t>
  </si>
  <si>
    <t>New TPM Wording in F10 &amp; WMI</t>
  </si>
  <si>
    <t>3-30</t>
  </si>
  <si>
    <t>WIN8/WIN10 – WIN RE (RESET YOUR PC)</t>
  </si>
  <si>
    <t>3-43</t>
  </si>
  <si>
    <t>ChipSec</t>
  </si>
  <si>
    <t>For Production BIOS</t>
  </si>
  <si>
    <t>3-45</t>
  </si>
  <si>
    <t>Make TPM (Enable/Disable) greyed out until TPM Available PPI is confirmed</t>
  </si>
  <si>
    <t>3-46</t>
  </si>
  <si>
    <t>TPM1.2 versus TPM2.0 Autodetect</t>
  </si>
  <si>
    <t>3-48</t>
  </si>
  <si>
    <t>Allow Feature Byte String to be cleared</t>
  </si>
  <si>
    <t>3-49</t>
  </si>
  <si>
    <t>TPM Fully Configured / Enabled (BIOS Downgrade/Upgrade/Reflash)</t>
  </si>
  <si>
    <t>3-50</t>
  </si>
  <si>
    <t>TPM Fully Configured / Enabled with Drive Lock Enabled</t>
  </si>
  <si>
    <t>Test case is removed</t>
    <phoneticPr fontId="39" type="noConversion"/>
  </si>
  <si>
    <t>3-51</t>
  </si>
  <si>
    <t>Do Not Lock Credential Services SMI Interface Until Shortly After ReadyToBoot</t>
  </si>
  <si>
    <t>3-55</t>
  </si>
  <si>
    <t>F10 Security - Remove CSM User W/ Preboot Authentication, TPM Fully Configured and DriveLock Password Enabled</t>
  </si>
  <si>
    <t>Not support  HP Client Security</t>
    <phoneticPr fontId="39" type="noConversion"/>
  </si>
  <si>
    <t>3-56</t>
  </si>
  <si>
    <t>F10 Security - BIOS Preboot Authentication W/ TPM and DriveLock Password Enabled</t>
  </si>
  <si>
    <t>3-57</t>
  </si>
  <si>
    <t>Client Security Enrollment</t>
  </si>
  <si>
    <t>3-58</t>
  </si>
  <si>
    <t>Fingerprint F10 and WMI</t>
  </si>
  <si>
    <t>Not support Fingerprint</t>
    <phoneticPr fontId="39" type="noConversion"/>
  </si>
  <si>
    <t>3-60</t>
  </si>
  <si>
    <t>TPM Firmware Management - Flashing</t>
  </si>
  <si>
    <t>3-62</t>
  </si>
  <si>
    <t>Device Guard</t>
  </si>
  <si>
    <t>3-63</t>
  </si>
  <si>
    <t>SPI Lock Verification (Production Signed BIOS)</t>
  </si>
  <si>
    <t>For Production Signed BIOS</t>
    <phoneticPr fontId="37" type="noConversion"/>
  </si>
  <si>
    <t>3-64</t>
  </si>
  <si>
    <t>Device Guard - Memory Overwrite Request Support</t>
  </si>
  <si>
    <t>3-66</t>
  </si>
  <si>
    <t>SHUT DOWN WHEN GPI033 IS ASSERTED AND MPM IS LOCKED</t>
  </si>
  <si>
    <t>3-67</t>
  </si>
  <si>
    <t>FPT ME LOCK PROCESS VERIFICATION</t>
  </si>
  <si>
    <t>3-68</t>
  </si>
  <si>
    <t>TPM CHECK DEPENDENCIES ON PLATFORM FEATURES</t>
  </si>
  <si>
    <t>3-69</t>
  </si>
  <si>
    <t>ALLOW USER TO OPT-OUT OF GBE RECOVERY WARNING</t>
  </si>
  <si>
    <t>3-70</t>
  </si>
  <si>
    <t>MPM COUNTER COUNT DOWN AND ALLOW SET TO 255</t>
  </si>
  <si>
    <t>3-71</t>
  </si>
  <si>
    <t>HP UEFI Variables Blocked</t>
  </si>
  <si>
    <t>3-72</t>
  </si>
  <si>
    <t>MPM Reset Via Prism Server</t>
  </si>
  <si>
    <t>3-75</t>
  </si>
  <si>
    <t>Development Mode and Production Mode (Test Signed BIOS)</t>
  </si>
  <si>
    <t>3-76</t>
  </si>
  <si>
    <t>Development Mode and Production Mode (Production Signed BIOS)</t>
  </si>
  <si>
    <t>3-77</t>
  </si>
  <si>
    <t>FLASH UNLOCK ALL PRISM SERVER COMMAND</t>
    <phoneticPr fontId="37" type="noConversion"/>
  </si>
  <si>
    <t>3-78</t>
  </si>
  <si>
    <t>MPM Mode (Resize)</t>
  </si>
  <si>
    <t>3-81</t>
  </si>
  <si>
    <t>Differentiate NetClone BIOS from non-Netclone BIOS</t>
  </si>
  <si>
    <t>Tool(Netclone BIOS bin file ) not ready。</t>
    <phoneticPr fontId="39" type="noConversion"/>
  </si>
  <si>
    <t>3-82</t>
  </si>
  <si>
    <t>Capsule BIOS Update</t>
  </si>
  <si>
    <t>3-83</t>
  </si>
  <si>
    <t>MPM – MPM REBOOT COUNTER (DEPENDENCY MPM PROTOCOL)</t>
  </si>
  <si>
    <t>3-84</t>
  </si>
  <si>
    <t xml:space="preserve">SMC COMMAND ON SYSTEM WITH NON PRODUCTION / PRODUCTION  SIGNED BIOS </t>
  </si>
  <si>
    <t>3-85</t>
  </si>
  <si>
    <t>SMC Boot without Authorization</t>
  </si>
  <si>
    <t>3-87</t>
  </si>
  <si>
    <t>SMC Enter MPM on BIOS</t>
  </si>
  <si>
    <t>3-88</t>
  </si>
  <si>
    <t>SMC enter Setup without Authorization</t>
  </si>
  <si>
    <t>3-89</t>
  </si>
  <si>
    <t>SMC Multiple UUID</t>
  </si>
  <si>
    <t>3-91</t>
  </si>
  <si>
    <t>SMC Set Factory Defaults, Retain Identity</t>
  </si>
  <si>
    <t>3-92</t>
  </si>
  <si>
    <t>PASSWORD PROTECT F9 F11 F12</t>
    <phoneticPr fontId="37" type="noConversion"/>
  </si>
  <si>
    <t>3-93</t>
  </si>
  <si>
    <t xml:space="preserve">TPM ACTIVATION POLICY </t>
  </si>
  <si>
    <t>3-94</t>
  </si>
  <si>
    <t>WMI AND F10 OPTIONS TO CONTROL INTRUSION DETECTION POLICY</t>
  </si>
  <si>
    <t>3-95</t>
  </si>
  <si>
    <t>FACTORY FLASH APPLICATION THAT IS ABLE TO FULL FLASH BIOS ROM IF MPM IS UNLOCKED - BIOS REGIONS</t>
  </si>
  <si>
    <t>3-96</t>
  </si>
  <si>
    <t>FACTORY FLASH APPLICATION THAT IS ABLE TO FULL FLASH BIOS ROM IF MPM IS UNLOCKED - COMMAND LINE CONFLICTS AND BIOS INCOMPATIBILITY</t>
  </si>
  <si>
    <t>3-97</t>
  </si>
  <si>
    <t>TOUCH SCREEN KEYBOARD SUPPORT (POWER-ON PASSWORD/POWER-ON AUTHENTICATION)</t>
  </si>
  <si>
    <t>Not support Touch Screen</t>
    <phoneticPr fontId="39" type="noConversion"/>
  </si>
  <si>
    <t>3-98</t>
  </si>
  <si>
    <t>FACTORY FLASH APPLICATION THAT IS ABLE TO FULL FLASH BIOS ROM IF MPM IS UNLOCKED - ALL REGIONS</t>
  </si>
  <si>
    <t>3-99</t>
  </si>
  <si>
    <t>REPORT "ME FIRMWARE VERSION" AS "DISABLED" WHEN ME GPIO IS ASSERTED</t>
  </si>
  <si>
    <t>3-100</t>
  </si>
  <si>
    <t>FACTORY FLASH APPLICATION THAT IS ABLE TO FULL FLASH BIOS ROM IF MPM IS UNLOCKED - ME REGION</t>
  </si>
  <si>
    <t>3-102</t>
  </si>
  <si>
    <t>SECURE BOOT KEYS: ALWAYS START IN USER MODE</t>
  </si>
  <si>
    <t>3-103</t>
  </si>
  <si>
    <t>IDENTIFY WHICH VERSION OF BUFF IS SUPPORTED IN SMBIOS</t>
  </si>
  <si>
    <t>3-104</t>
  </si>
  <si>
    <t>PROTOTYPE CUSTOM SECURE BOOT KEYS</t>
  </si>
  <si>
    <t>3-105</t>
  </si>
  <si>
    <t>Remove Prompt for BIOS Admin Password when using SMC to bypass authentication</t>
  </si>
  <si>
    <t>3-106</t>
  </si>
  <si>
    <t>Device Guard: Enable / Disable - Production BIOS Only</t>
  </si>
  <si>
    <t>3-106-2</t>
  </si>
  <si>
    <t>Device Guard: Enable / Disable - Automation</t>
  </si>
  <si>
    <t>3-107</t>
  </si>
  <si>
    <t>BITLOCKER RECOVERY KEY WHEN PIN IS ENABLED</t>
  </si>
  <si>
    <t>3-108</t>
  </si>
  <si>
    <t>PASSWORD PROMPT ORDER WHEN SINGLE SIGN ON IS ENABLED/DISABLED</t>
  </si>
  <si>
    <t>3-109</t>
  </si>
  <si>
    <t>AUTOMATIC DRIVELOCK</t>
  </si>
  <si>
    <t>DO NOT test on NVMe drives.</t>
    <phoneticPr fontId="39" type="noConversion"/>
  </si>
  <si>
    <t>3-110</t>
  </si>
  <si>
    <t xml:space="preserve">SMBASE LOCK CHECKING – CHECKING SMLOCK AND SMBASELOCK BIT =1 </t>
  </si>
  <si>
    <t>It support only AMD</t>
    <phoneticPr fontId="39" type="noConversion"/>
  </si>
  <si>
    <t>3-111</t>
  </si>
  <si>
    <t>SET BLOCK SID AUTHENTICATION COMMAND BEFORE TRANSFER CONTROL TO OS (AMD AND INTEL) SATA ONLY</t>
  </si>
  <si>
    <t>not support SATA SSD</t>
  </si>
  <si>
    <t>3-112</t>
  </si>
  <si>
    <t>TPM PCR(0) MEASUREMENT</t>
  </si>
  <si>
    <t>3-113</t>
  </si>
  <si>
    <t xml:space="preserve">Allow POST power on password to be changed if Admin password is not known (BCR 176282) </t>
  </si>
  <si>
    <t>3-114</t>
  </si>
  <si>
    <t xml:space="preserve">UEFI CA key disable test mode (BCR 169728  2015) </t>
  </si>
  <si>
    <t>3-117</t>
  </si>
  <si>
    <t>TPM Firmware Upgrade while BitLocker is Enabled</t>
  </si>
  <si>
    <t>3-118</t>
  </si>
  <si>
    <t>Recover from NVRAM Reclaim/Header/Link List Corruption on Systems</t>
  </si>
  <si>
    <t>3-119</t>
  </si>
  <si>
    <t>DEVICE GUARD - FIRMWARE SUPPORT FOR SMM PROTECTION, UEFI NX PROTECTION VALIDATION</t>
  </si>
  <si>
    <t>Do not to run on 20H2+ units</t>
  </si>
  <si>
    <t>3-120</t>
  </si>
  <si>
    <t>Buff2 Allow EC write access to more regions than Intel reference allows</t>
  </si>
  <si>
    <t>3-121</t>
  </si>
  <si>
    <t>OA3 Key Not Cleared When Press CMOS Clear</t>
  </si>
  <si>
    <t>3-122</t>
  </si>
  <si>
    <t>Capsule Update BIOS Admin Password Policy (2017)</t>
  </si>
  <si>
    <t>F10 not support “Prompt for Admin Password on Capsule Update”</t>
    <phoneticPr fontId="40" type="noConversion"/>
  </si>
  <si>
    <t>3-124</t>
  </si>
  <si>
    <t>ADD TPM1.2 TO 2.0 UPGRADE PPI TO "TPM ACTIVATION POLICY" CONTROL</t>
  </si>
  <si>
    <t>not support TPM1.2</t>
    <phoneticPr fontId="40" type="noConversion"/>
  </si>
  <si>
    <t>3-125</t>
  </si>
  <si>
    <t>Time authenticated variable vulnerability (7+ CVSS)</t>
  </si>
  <si>
    <t>3-127</t>
  </si>
  <si>
    <t>FUR Support: Crisis Recovery 2017</t>
  </si>
  <si>
    <t>DO NOT run on 2022+ SureStart Platforms.</t>
  </si>
  <si>
    <t>3-129</t>
  </si>
  <si>
    <t>Full BIOS WMI Stress Test with BIOS Admin Password</t>
  </si>
  <si>
    <t>3-130</t>
  </si>
  <si>
    <t xml:space="preserve">Full BIOS WMI Stress Test with Power On Password </t>
  </si>
  <si>
    <t>3-131</t>
  </si>
  <si>
    <t xml:space="preserve">GPT Recovery – Fast Boot Enabled </t>
  </si>
  <si>
    <t>3-140</t>
  </si>
  <si>
    <t>Hide BIOS Administrator Account in Power-On Authentication Screen</t>
  </si>
  <si>
    <t>3-143</t>
  </si>
  <si>
    <t>Remote SMC Command Support</t>
  </si>
  <si>
    <t>3-144</t>
  </si>
  <si>
    <t>Private WMI SMC Log Support</t>
  </si>
  <si>
    <t>3-146</t>
  </si>
  <si>
    <t xml:space="preserve">SMC COMMAND TO SET, UPDATE, OR CLEAR KEK </t>
  </si>
  <si>
    <t>3-147</t>
  </si>
  <si>
    <t>Add TCG Event Log Format Setting</t>
  </si>
  <si>
    <t>This test is for 2015 Platform which supports TPM version 2.0.</t>
  </si>
  <si>
    <t>3-149</t>
  </si>
  <si>
    <t>Test Legacy Boot Removal</t>
  </si>
  <si>
    <t>3-150</t>
  </si>
  <si>
    <t xml:space="preserve">Move Secure Boot setting from Advanced Menu to Security Menu </t>
  </si>
  <si>
    <t>3-152</t>
  </si>
  <si>
    <t>Implement Cover Removal with Clear TPM on boot &amp; Power off upon cover removal &amp; Last Cover Removal and Count for F10 Public WMI and Audit Logs</t>
  </si>
  <si>
    <t>3-153</t>
  </si>
  <si>
    <t>D Cover: Reset Security Defaults</t>
  </si>
  <si>
    <t>3-154</t>
  </si>
  <si>
    <t>Secure Boot Keys Protection (DBX)</t>
  </si>
  <si>
    <t>3-155</t>
  </si>
  <si>
    <t>Smart Cover - Policy Changes After Cover Open Events</t>
  </si>
  <si>
    <t>Pass</t>
    <phoneticPr fontId="37" type="noConversion"/>
  </si>
  <si>
    <t>3-156</t>
  </si>
  <si>
    <t>Smart Cover - Handle RTC Lost/Removed Scenarios - Core</t>
  </si>
  <si>
    <t>3-157</t>
  </si>
  <si>
    <t>Smart Cover - Verify Audit Logs as well as Corner Cases</t>
    <phoneticPr fontId="37" type="noConversion"/>
  </si>
  <si>
    <t>3-159</t>
  </si>
  <si>
    <t>Smart Cover -Verify Cover Lock functionality</t>
  </si>
  <si>
    <t>not support Cover Lock</t>
    <phoneticPr fontId="39" type="noConversion"/>
  </si>
  <si>
    <t>3-160</t>
  </si>
  <si>
    <t>Dynamic Root of Trust for Measurement (DRTM) - F10</t>
  </si>
  <si>
    <t>AMD system only</t>
  </si>
  <si>
    <t>3-161</t>
  </si>
  <si>
    <t>Dynamic Root of Trust for Measurement (DRTM) - Public WMI</t>
  </si>
  <si>
    <t>3-162</t>
  </si>
  <si>
    <t>Add SHA256 capability to SMC [2021.4]</t>
  </si>
  <si>
    <t>The BIOS Supports SHA384 instead of SHA256</t>
  </si>
  <si>
    <t>3-163</t>
  </si>
  <si>
    <t>Add SHA384 capability to SMC [2022]</t>
  </si>
  <si>
    <t>3-164</t>
  </si>
  <si>
    <t>Configure Core settings with Android feature byte(cq)</t>
  </si>
  <si>
    <t>Not supports Android Feature</t>
  </si>
  <si>
    <t>3-165</t>
  </si>
  <si>
    <t>Configure Platform settings with Android feature byte(cq)</t>
  </si>
  <si>
    <t>3-166</t>
  </si>
  <si>
    <t>Tamper lock: Feature byte override support testing</t>
  </si>
  <si>
    <t>3-167</t>
  </si>
  <si>
    <t>Virtualization Based BIOS Protection F10 Settings</t>
  </si>
  <si>
    <t>3-168</t>
  </si>
  <si>
    <t>F10/public WMI dependencies between VBBP and VTx (Intel)</t>
  </si>
  <si>
    <t>3-169</t>
  </si>
  <si>
    <t>VBBP Test Signed Bios and AxB Test Mode Enabled</t>
  </si>
  <si>
    <t>3-170</t>
  </si>
  <si>
    <t>VBBP Production Signed or Test Signed Bios with AxB Test Mode Disabled</t>
  </si>
  <si>
    <t>3-171</t>
  </si>
  <si>
    <t>VBBP Production Signed or Test Signed Bios with AxB Test Mode Disabled with Authentication</t>
  </si>
  <si>
    <t>SIO2237329 - [Teas-R2][Masala-R2][Refresh][U50_008220][Func][3-171 Step:3][B]:Report "ERROR: Error Value Mismatch "Virtualization Based BIOS Protection" when run "VBBP Test Mode Disable for Production &amp; Test Signed Bios With Authentication.pvt".  </t>
  </si>
  <si>
    <t>3-172</t>
  </si>
  <si>
    <t>F10/public WMI dependencies between AxB and SVM (AMD)</t>
  </si>
  <si>
    <t xml:space="preserve">for AMD </t>
  </si>
  <si>
    <t>3-173</t>
  </si>
  <si>
    <t>Get and Compare PCR1 Digest Value (EV_EFI_Handoff_Table)</t>
  </si>
  <si>
    <t>3-174</t>
  </si>
  <si>
    <t>Drivelock Event Logging</t>
  </si>
  <si>
    <t>3-175</t>
  </si>
  <si>
    <t>TPM Updates with AMD Pro and Intel vPro</t>
  </si>
  <si>
    <t>3-176</t>
  </si>
  <si>
    <t>RTC Battery Removal Policy</t>
  </si>
  <si>
    <t>3-177</t>
  </si>
  <si>
    <t>MS Digital Marker Corruption and Recovery</t>
  </si>
  <si>
    <t>3-178</t>
  </si>
  <si>
    <t>Hard-bricking after DB update - test failing via MSFT UEFI test guidance</t>
  </si>
  <si>
    <t>3-179</t>
  </si>
  <si>
    <t>Secure Boot Var Data Corruption Test</t>
    <phoneticPr fontId="37" type="noConversion"/>
  </si>
  <si>
    <t>3-180</t>
  </si>
  <si>
    <t>AxB Kill feature byte</t>
  </si>
  <si>
    <t>3-181</t>
  </si>
  <si>
    <t>EpSC'24 Device Identity</t>
  </si>
  <si>
    <t>For EC2024</t>
    <phoneticPr fontId="37" type="noConversion"/>
  </si>
  <si>
    <t>3-182</t>
  </si>
  <si>
    <t xml:space="preserve">Drive Lock Auto Unlock </t>
  </si>
  <si>
    <t>SIO2245631 - [Teas-R2][Masala-R2][Refresh][U50_008420][Func][3-182 AC#1_Step:13]: "Prompt for DriveLock Password on OS Restart" is missing after update BIOS 00.84.20.</t>
  </si>
  <si>
    <t>4-11</t>
  </si>
  <si>
    <t>Incorporate SMBIOS Changes and new filenames to support new Advanced Diagnostics signed with 2017 signing keys</t>
  </si>
  <si>
    <t>4-12</t>
  </si>
  <si>
    <t>Diags Paths on USB for 2017 Signed Diags</t>
  </si>
  <si>
    <t>4-13</t>
  </si>
  <si>
    <t>Create UEFI app to verify critical data regions(gBS, gST, gRT) and code regions are protected from DMA transaction and Create UEFI App to compare UEFI memory and VTD page table entries</t>
  </si>
  <si>
    <t>5-3</t>
  </si>
  <si>
    <t>Redefine Apply Factory Defaults and Exit Action</t>
  </si>
  <si>
    <t>5-6</t>
  </si>
  <si>
    <t>Boot Order UEFI Boot Order</t>
  </si>
  <si>
    <t>5-15</t>
  </si>
  <si>
    <t>F11 Recovery</t>
  </si>
  <si>
    <t>Skip this testcase on 2021+ codebase platforms. This test is common across all platforms codebase before 2021+ (Workstation, Desktop, and Notebook).</t>
    <phoneticPr fontId="37" type="noConversion"/>
  </si>
  <si>
    <t>5-20</t>
  </si>
  <si>
    <t>UEFI Boot Order Changes from WMI</t>
  </si>
  <si>
    <t>5-22</t>
  </si>
  <si>
    <t>Seamless Boot</t>
  </si>
  <si>
    <t>5-23</t>
  </si>
  <si>
    <t>Windows to Go Boot to UEFI</t>
  </si>
  <si>
    <t>5-27</t>
  </si>
  <si>
    <t>USB AS A BOOT DEVICE-ENABLE/DISABLE  /  USB as a Boot Device - Enable/Disable</t>
    <phoneticPr fontId="37" type="noConversion"/>
  </si>
  <si>
    <t>5-28</t>
  </si>
  <si>
    <t>OPTICAL DRIVE AS A BOOT DEVICE--ENABLE/DISABLE</t>
  </si>
  <si>
    <t>Unit not support with internal ODD</t>
    <phoneticPr fontId="37" type="noConversion"/>
  </si>
  <si>
    <t>5-38</t>
  </si>
  <si>
    <t>Boot HP Logo</t>
  </si>
  <si>
    <t>5-43</t>
  </si>
  <si>
    <t>BIOS Build Version</t>
  </si>
  <si>
    <t>5-44</t>
  </si>
  <si>
    <t>Win 10 PBR Changes</t>
  </si>
  <si>
    <t>Do not test this test plan on 2021.4+ codebase platforms.</t>
  </si>
  <si>
    <t>5-45</t>
  </si>
  <si>
    <t>PEI-B CORRUPTION AND RECOVERY ON SURESTART SYSTEMS</t>
  </si>
  <si>
    <t>For production BIOS</t>
    <phoneticPr fontId="37" type="noConversion"/>
  </si>
  <si>
    <t>5-47</t>
  </si>
  <si>
    <t>PORT NTFS DRIVER</t>
  </si>
  <si>
    <t>5-48</t>
  </si>
  <si>
    <t>POST UI ENHANCEMENT DISPLAY SELECTED FUNCTION KEY &amp; ACTION</t>
  </si>
  <si>
    <t>5-49</t>
  </si>
  <si>
    <t>Custom Logo Support in Windows</t>
  </si>
  <si>
    <t>5-50</t>
  </si>
  <si>
    <t>ALLOW SYSTEM INFORMATION TO BE SEEN EVEN WHEN POWER ON PASSWORD IS IN PLACE BCR 179919</t>
  </si>
  <si>
    <t>5-51</t>
  </si>
  <si>
    <t>LINUX FLASH UTILITY – LOGO UPDATE</t>
  </si>
  <si>
    <t>5-52</t>
  </si>
  <si>
    <t>Linux Repsetup Utility</t>
  </si>
  <si>
    <t>5-54</t>
  </si>
  <si>
    <t>Support Soft USB Keyboard for POST Popups (BCR 190581)</t>
  </si>
  <si>
    <t>5-55</t>
  </si>
  <si>
    <t>POR Support SMBIOS 3.1</t>
  </si>
  <si>
    <t>5-57</t>
  </si>
  <si>
    <t>Networking Clear EDK2 Network Settings</t>
  </si>
  <si>
    <t>5-58</t>
  </si>
  <si>
    <t>Network BitLocker Unlock</t>
    <phoneticPr fontId="37" type="noConversion"/>
  </si>
  <si>
    <t>SIO2238850 - [Teas-R2][Masala-R2][Refresh][U50_008220][Func][5-58 AC4_Step44][B]:Can't connected to the WiFi using EAP-TLS or PEAP protocol and can connected to the WiFi using TTLS protocol but can't unlock BitLocker.</t>
  </si>
  <si>
    <t>5-59</t>
  </si>
  <si>
    <t xml:space="preserve">Preboot wifi: policy to allow for post wifi/network connection delay before allowing boot to proceed </t>
  </si>
  <si>
    <t>5-60</t>
  </si>
  <si>
    <t>BIOS NEEDS TO SUPPORT TOUCH PANEL AS DEFAULT IF THERE IS NO FEATURE BYTE (BCR234100)</t>
  </si>
  <si>
    <t>For platform with TOUCH support</t>
    <phoneticPr fontId="37" type="noConversion"/>
  </si>
  <si>
    <t>5-65</t>
  </si>
  <si>
    <t>System Vulnerability Testing</t>
  </si>
  <si>
    <t>6-4</t>
  </si>
  <si>
    <t xml:space="preserve"> HP WMI (Private) WINPVT - (Private) WMI Commands</t>
  </si>
  <si>
    <t>6-5</t>
  </si>
  <si>
    <t>Bios Administrator Password  - Setup, change, Policy</t>
  </si>
  <si>
    <t>6-6</t>
  </si>
  <si>
    <t>Feature Byte</t>
    <phoneticPr fontId="37" type="noConversion"/>
  </si>
  <si>
    <t>6-8</t>
  </si>
  <si>
    <t>System Information Verification Via BCU</t>
  </si>
  <si>
    <t>6-11</t>
  </si>
  <si>
    <t>Robust Microcode Patch Image</t>
  </si>
  <si>
    <t>6-18</t>
  </si>
  <si>
    <t>SMBIOS Data Verification UEFI &amp; RW</t>
  </si>
  <si>
    <t>6-25</t>
  </si>
  <si>
    <t>NVS Reclaim (WinPVT) (Interactive Only)</t>
  </si>
  <si>
    <t>6-26</t>
  </si>
  <si>
    <t>WMI BIOS Configuration Implementation</t>
  </si>
  <si>
    <t>6-29</t>
  </si>
  <si>
    <t>Report Errors from SMM</t>
  </si>
  <si>
    <t>6-30</t>
  </si>
  <si>
    <t>HP WMI BIOS (Public) Interface Test</t>
  </si>
  <si>
    <t>6-34</t>
  </si>
  <si>
    <t>WMI Stress - Public And Private WMI Calls (WinPVT) - Overnight</t>
  </si>
  <si>
    <t>6-35</t>
  </si>
  <si>
    <t>BIOS Specifications (WinPVT)</t>
  </si>
  <si>
    <t>6-36</t>
  </si>
  <si>
    <t>Alias for Feature Byte</t>
  </si>
  <si>
    <t>6-38</t>
  </si>
  <si>
    <t>Add Win10 Featurebyte to Gondor</t>
  </si>
  <si>
    <t>testplan remove</t>
  </si>
  <si>
    <t>6-39</t>
  </si>
  <si>
    <t>REMOVE USB RELATED ITEMS WHEN USB KILL FEATUREBYTE IS ACTIVE</t>
  </si>
  <si>
    <t>Kill USB feature is only for NB and DT that support PS2 keyboard/mouse</t>
  </si>
  <si>
    <t>6-41</t>
  </si>
  <si>
    <t>MICROCODE REVISION VERIFICATION FOR SKYLAKE – SINGLE &amp; MULTI CPU</t>
  </si>
  <si>
    <t>For Skylake Systems</t>
  </si>
  <si>
    <t>6-43</t>
  </si>
  <si>
    <t>ALLOW DISABLING INDIVIDUAL BOOT OPTIONS IN UEFI AND LEGACY BOOT ORDER USING WMI</t>
  </si>
  <si>
    <t>6-45</t>
  </si>
  <si>
    <t xml:space="preserve">PPI TO DISABLE MOST OTHER PPI </t>
  </si>
  <si>
    <t>6-46</t>
  </si>
  <si>
    <t>Feature Byte (Stress Test)</t>
  </si>
  <si>
    <t>6-47</t>
  </si>
  <si>
    <t>[SPLIT] Add a BCU setting to “Force Cold Boot” with values of Enable, Disable, and Once</t>
  </si>
  <si>
    <t>6-51</t>
  </si>
  <si>
    <t>HP_Disk0Map Configuration</t>
  </si>
  <si>
    <t>7-4</t>
  </si>
  <si>
    <t>SMBIOS FLASH COMPARE (WinPVT)</t>
  </si>
  <si>
    <t>7-9</t>
  </si>
  <si>
    <t>WinPVT Bios Flash Backup on GPT and HP_Tools Partition</t>
  </si>
  <si>
    <t>2022+ platforms are not supported in this test case"</t>
  </si>
  <si>
    <t>7-13</t>
  </si>
  <si>
    <t>HPBIOSUPDREC Flash in Delay Mode with SATA in RAID Mode</t>
  </si>
  <si>
    <t>7-21</t>
  </si>
  <si>
    <t>Flash BIOS Update Via HPBIOSUPREC In Delay Mode With Bitlocker Enabled - GPT Partition</t>
  </si>
  <si>
    <t>2015, 2016 and 2017 platforms</t>
  </si>
  <si>
    <t>7-25</t>
  </si>
  <si>
    <t>BIOS ROLLBACK PPI: BLOCK ROLLBACKS WHEN A MINIMUM BIOS VERSION EXISTS - FUR</t>
  </si>
  <si>
    <t>7-26</t>
  </si>
  <si>
    <t>BIOS ROLLBACK PPI: F10 AND WMI OPTIONS FOR BIOS ROLLBACK</t>
    <phoneticPr fontId="37" type="noConversion"/>
  </si>
  <si>
    <t>7-27</t>
  </si>
  <si>
    <t>BIOS ROLLBACK PPI: PPI IF USER ATTEMPTS TO ROLL BACK BIOS</t>
  </si>
  <si>
    <t>Blocked BIOS Testing is only supported by the Houston Test Team</t>
    <phoneticPr fontId="39" type="noConversion"/>
  </si>
  <si>
    <t>7-28</t>
  </si>
  <si>
    <t>BIOS ROLLBACK PPI: PREVENT ROLLBACK TO BIOS ON ANY BLOCKED LIST DURING BIOS RECOVERY</t>
  </si>
  <si>
    <t>Blocked BIOS Testing is only supported by the Houston Test Team</t>
  </si>
  <si>
    <t>7-29</t>
  </si>
  <si>
    <t>BIOS Rollback PPI: Look on USB key if no HP_Tools or ESP partition</t>
  </si>
  <si>
    <t>7-30</t>
  </si>
  <si>
    <t>BIOS RECOVERY IMAGE: RECOVER WHEN E-LABEL OR PSP REGION IS PRESENT</t>
  </si>
  <si>
    <t> SIO2243101 - [Teas-R2][Masala-R2][Refresh][U50_008320][Func][7-30 AC#6_Step:78][B]: The unit boot to OS without BIOS update when select "Update System and Supported Device Firmware Using Local Media" with BIOS bin file in FAT32 USB.  </t>
  </si>
  <si>
    <t>7-32</t>
  </si>
  <si>
    <t>LINUX FLASH UTILITY BIOS UPDATE</t>
  </si>
  <si>
    <t>7-33</t>
  </si>
  <si>
    <t>BIOS UPGRADE/DOWNGRADE (TEST TO TEST)</t>
  </si>
  <si>
    <t>7-34</t>
  </si>
  <si>
    <t>BIOS UPGRADE/DOWNGRADE (PRODUCTION TO PRODUCTION)</t>
  </si>
  <si>
    <t>7-35</t>
  </si>
  <si>
    <t>BIOS Upgrade/Downgrade (TEST and PRODUCTION)</t>
  </si>
  <si>
    <t>For Production Signed BIOS and Test BIOS</t>
    <phoneticPr fontId="37" type="noConversion"/>
  </si>
  <si>
    <t>7-36</t>
  </si>
  <si>
    <t>Version Changes 2017 Buff Flashing</t>
  </si>
  <si>
    <t>7-37</t>
  </si>
  <si>
    <t>Buff2: Allow family over-ride for platforms which have multiple CPU generations</t>
  </si>
  <si>
    <t>This test for Slice only</t>
  </si>
  <si>
    <t>7-38</t>
  </si>
  <si>
    <t>BIOS Update Via FUR</t>
  </si>
  <si>
    <t>DO NOT run on 2022+ Platforms with Seamless Firmware Update (SFU) support.</t>
    <phoneticPr fontId="37" type="noConversion"/>
  </si>
  <si>
    <t>7-39</t>
  </si>
  <si>
    <t>FUR Update System Firmware from F10</t>
  </si>
  <si>
    <t>7-40</t>
  </si>
  <si>
    <t>BIOS Upgrade Downgrade Using HPFWUPDREC</t>
  </si>
  <si>
    <t>7-42</t>
  </si>
  <si>
    <t>DISPLAY OPTIONAL REASON TEXT ON BLOCKED BIOS UPDATE SCREEN</t>
  </si>
  <si>
    <t>This Test Plan can only be tested on R-family BIOSes using the 2019.2 HpCore code base (platforms leveraging Empire).</t>
  </si>
  <si>
    <t>7-43</t>
  </si>
  <si>
    <t xml:space="preserve">ENABLE OR DISABLE CAPSULE UPDATE - NATIVE OS FIRMWARE UPDATE SERVICE </t>
  </si>
  <si>
    <t>7-44</t>
  </si>
  <si>
    <t>Fort Knox 2017 B 16B1 - BIOS Rollback policy in EC</t>
  </si>
  <si>
    <t>7-45</t>
  </si>
  <si>
    <t>Add NTFS Support for FW Update</t>
  </si>
  <si>
    <t>7-46</t>
  </si>
  <si>
    <t xml:space="preserve">BIOS Folder Cleanup </t>
  </si>
  <si>
    <t>7-48</t>
  </si>
  <si>
    <t>BIOS Update Screen UX Improvement (FUR)</t>
  </si>
  <si>
    <t>SIO2106001 - [Teas-R][Masala-R][Stage1][U50_00.64.00] 7-48_AC#3 step:34][B]:The messages shown in firmware update screen are not translated to Spanish completely after change the language to Spanish and update BIOS via FUR.        SIO2043288 - [Boggle24/ICC_BV/SI2/U13_00.31.00/Fun: 7-51_Step#102]: The message is still shown "Updating XXX" instead of "Firmware X is update to date" in ME/PD/Camera firmware update screen when reflash BIOS with FUR.</t>
    <phoneticPr fontId="39" type="noConversion"/>
  </si>
  <si>
    <t>7-51</t>
  </si>
  <si>
    <t>BIOS Update Screen UX Improvement  (ME Recovery)</t>
  </si>
  <si>
    <t>7-52</t>
  </si>
  <si>
    <t>BIOS update in SFU platforms - Phase 1 test</t>
  </si>
  <si>
    <t>7-53</t>
  </si>
  <si>
    <t>Update other BIOS policies if Lock BIOS version is enabled</t>
  </si>
  <si>
    <t>7-54</t>
  </si>
  <si>
    <t xml:space="preserve">Update BIOS update module to skip BAP/BEAM authentication on rollback </t>
  </si>
  <si>
    <t>7-55</t>
  </si>
  <si>
    <t>Validate power state transition scenario during SFU BIOS update</t>
  </si>
  <si>
    <t>SIO2151893 - [Teas][Masala][MV][Reflash][U50_01.04.00][Func:7-55 Step:28]: System will hang at HP logo after wake up form S4 when set system to S4 between 0-100% completion of the BIOS update.</t>
  </si>
  <si>
    <t>7-56</t>
  </si>
  <si>
    <t>Validate power state transition scenario during SFU BIOS update - S3 Only</t>
  </si>
  <si>
    <t> SIO2147450 - [Teas][Masala][MV][Reflash][U50_01.04.00][Func:7-56 Step:12]:BIOS flash progress bar will stop and report "An error occured when flashing firmware" after set UUT to S3 between 90%-100% completion of BIOS update and wake from S3.</t>
  </si>
  <si>
    <t>7-57</t>
  </si>
  <si>
    <t>SFU Capsule update thru FUR with WU service</t>
  </si>
  <si>
    <t>9-1</t>
  </si>
  <si>
    <t>ACPI 5.0 support</t>
  </si>
  <si>
    <t>9-3</t>
  </si>
  <si>
    <t xml:space="preserve">DISABLE WPBT ON BOOTING TO A USB DEVICE (BCR 253577) </t>
    <phoneticPr fontId="37" type="noConversion"/>
  </si>
  <si>
    <t>11-4</t>
  </si>
  <si>
    <t>SCT Runtime Services Test (Over Night)</t>
  </si>
  <si>
    <t>11-5</t>
  </si>
  <si>
    <t>SCT ACPI Table Protocol Test</t>
  </si>
  <si>
    <t>20-1</t>
  </si>
  <si>
    <t>Public WMI Changes (Update 2, Based On OS Recovery BIOS Interface Spec. R07)</t>
  </si>
  <si>
    <t>20-2</t>
  </si>
  <si>
    <t>Provisioning Support (Based On OS Recovery BIOS Interface Spec. R07)</t>
  </si>
  <si>
    <t>20-3</t>
  </si>
  <si>
    <t>“OS Recovery Configuration” Private WMI Command</t>
  </si>
  <si>
    <t>20-4</t>
  </si>
  <si>
    <t>“OS Recovery Trigger Recovery” Private WMI Command</t>
  </si>
  <si>
    <t>This Procedure is for Computron and Trypticon 2017 platforms.</t>
  </si>
  <si>
    <t>20-5</t>
  </si>
  <si>
    <t>“OS Recovery Status” Private WMI Command</t>
  </si>
  <si>
    <t>20-6</t>
  </si>
  <si>
    <t>F10 Changes (Update 2, Based On OS Recovery BIOS Interface Spec. R07)</t>
  </si>
  <si>
    <t>20-7</t>
  </si>
  <si>
    <t>HP Recovery Environment Input Variables (Based On OS Recovery BIOS Interface Spec. R07)</t>
  </si>
  <si>
    <t>20-8</t>
  </si>
  <si>
    <t>Remove OS Recovery Items From F10 On Unsupported Platforms</t>
    <phoneticPr fontId="37" type="noConversion"/>
  </si>
  <si>
    <t>20-9</t>
  </si>
  <si>
    <t>“OS Recovery Remove Provisioning” Private WMI Command</t>
  </si>
  <si>
    <t>20-10</t>
  </si>
  <si>
    <t>Local User Notification and Options After Managed Platform Recovery Failures</t>
  </si>
  <si>
    <t>20-11</t>
  </si>
  <si>
    <t>UEFI Boot Failure Policy (Functional Code)</t>
  </si>
  <si>
    <t>20-12</t>
  </si>
  <si>
    <t>F10 and WMI (Update #3)</t>
    <phoneticPr fontId="37" type="noConversion"/>
  </si>
  <si>
    <t>20-13</t>
  </si>
  <si>
    <t>F11 Behavior</t>
    <phoneticPr fontId="37" type="noConversion"/>
  </si>
  <si>
    <t>20-14</t>
  </si>
  <si>
    <t>OS Recovery Needed Variable</t>
    <phoneticPr fontId="37" type="noConversion"/>
  </si>
  <si>
    <t>20-15</t>
  </si>
  <si>
    <t>Log The Start of the OS Recovery Process</t>
    <phoneticPr fontId="37" type="noConversion"/>
  </si>
  <si>
    <t>20-16</t>
  </si>
  <si>
    <t>Verify Recovery Agent Signature Before Launching It (Houston Only)</t>
  </si>
  <si>
    <t>For Houston Only</t>
    <phoneticPr fontId="37" type="noConversion"/>
  </si>
  <si>
    <t>20-17</t>
  </si>
  <si>
    <t>Setting/Updating/Removing the RTC Alarm for Scheduled OS Recovery</t>
  </si>
  <si>
    <t>20-18</t>
  </si>
  <si>
    <t>Update Recovery File Downloads to Include Size Check Using Size Field in Manifest (Houston Only)</t>
  </si>
  <si>
    <t>20-20</t>
  </si>
  <si>
    <t>Launching Scheduled OS Recovery</t>
  </si>
  <si>
    <t>20-21</t>
  </si>
  <si>
    <t>Platform OS Recovery Secure Interfaces and Variables</t>
  </si>
  <si>
    <t>20-26</t>
  </si>
  <si>
    <t>HP Sure Recover: Publish the Modulus of the OS Recovery Public</t>
  </si>
  <si>
    <t>20-27</t>
  </si>
  <si>
    <t>Use HTTP Protocol Instead of FTP Protocol for Network Transactions</t>
  </si>
  <si>
    <t>This test suite is Houston Only due to “Network in a Box” Network structure Requirements.</t>
    <phoneticPr fontId="37" type="noConversion"/>
  </si>
  <si>
    <t>20-33</t>
  </si>
  <si>
    <t>OS Recovery: Publish the active network profile to the Recovery Agent</t>
    <phoneticPr fontId="37" type="noConversion"/>
  </si>
  <si>
    <t>SIO2238767 - [Teas-R2][Masala-R2][Refresh][U50_008220][Func][20-33 Step:24][B]: The SSID and Password will not appear after type "dmpstore prebootwifiprofile -all" in shell when doing OS Recovery by Preboot WIFI with Intel Wi-Fi 7 BE200 and Wi-Fi6E AX211.</t>
    <phoneticPr fontId="39" type="noConversion"/>
  </si>
  <si>
    <t>20-34</t>
  </si>
  <si>
    <t xml:space="preserve">OS Recovery: Support WPA2-Personal </t>
    <phoneticPr fontId="37" type="noConversion"/>
  </si>
  <si>
    <t>20-35</t>
  </si>
  <si>
    <t>HP Sure Recover: When scheduled/managed OS Recovery engages, do not prompt the user for on-demand Wi-Fi config</t>
  </si>
  <si>
    <t>For EMMC</t>
    <phoneticPr fontId="39" type="noConversion"/>
  </si>
  <si>
    <t>20-37</t>
  </si>
  <si>
    <t>HP Sure Recover: Honor the "Wi-Fi enabled" bit specified by the OS Recovery Configuration private WMI command</t>
  </si>
  <si>
    <t>20-38</t>
  </si>
  <si>
    <t>HP Sure Recover: Add BIOS support for retry delay, retry count, and retries exhausted user prompt</t>
  </si>
  <si>
    <t>20-41</t>
  </si>
  <si>
    <t>Failover F10 Info Display</t>
  </si>
  <si>
    <t>20-42</t>
  </si>
  <si>
    <t>OS Recovery Failover - Mutliple Network Sources</t>
  </si>
  <si>
    <t>20-44</t>
  </si>
  <si>
    <t xml:space="preserve">OS Recovery: Over WiFi and Wired - non-proxy </t>
  </si>
  <si>
    <t>21-1</t>
  </si>
  <si>
    <t>HP Sure Run Feature Byte Enabled Functions</t>
  </si>
  <si>
    <t> SIO2242520 - [Teas-R2][Masala-R2][Refresh][U50_008320][Func][21-1 Step:10][B]:The script report ERROR: "Failed to open HP Sure Run…" and "Call failed - General failure…(28/0x1C)" when run "21-1a P21 And Hep Inactive Tests.pvt".</t>
  </si>
  <si>
    <t>21-2</t>
  </si>
  <si>
    <t>HP Sure Run Feature Byte Diabled Functions</t>
  </si>
  <si>
    <t>21-8</t>
  </si>
  <si>
    <t>Clearing/Resetting of SPM/HP Sure Run via SMC/PRISM &amp; "Reload Security Defaults" Unprovisions/Deactivates SPM, HP Sure Run, Platform Recovery</t>
  </si>
  <si>
    <t>21-9</t>
  </si>
  <si>
    <t>P21 AND HEP INVALID COMMAND WITH WRONG KEY</t>
  </si>
  <si>
    <t>21-12</t>
  </si>
  <si>
    <t>Support Both HP Sure Run and Absolute via Single WPBT</t>
  </si>
  <si>
    <t>21-14</t>
  </si>
  <si>
    <t>Update Sure Run code to include support for dynamic persistence &amp; device injection</t>
  </si>
  <si>
    <t xml:space="preserve">SIO2232690 - [Teas-R2][Masala-R2][Refresh][U50_008120][Func][21-14 Step:5]: Report error 'Call failed - General failure (retrying may succeed or command sequence may have been interrupted, ……) (28/0x1C)' when run "328387 Sure Run Dynamic Persistance_v1.5.pvt".  </t>
    <phoneticPr fontId="39" type="noConversion"/>
  </si>
  <si>
    <t>21-23</t>
  </si>
  <si>
    <t>Hide "Deactivate HP Sure Run" setting when given 'gk.' feature byte configuration</t>
  </si>
  <si>
    <t>21-24</t>
  </si>
  <si>
    <t>Provision/Deprovision SPM in F10</t>
  </si>
  <si>
    <t>21-25</t>
  </si>
  <si>
    <t>Validate SPM Provisioning PPI Pop Up and Press ESC Key on Bitlocker Enabled System</t>
  </si>
  <si>
    <t>22-1</t>
  </si>
  <si>
    <t>Store Admin Password in Private SPI EC/SIO</t>
  </si>
  <si>
    <t>22-2</t>
  </si>
  <si>
    <t xml:space="preserve">Secure Boot Keys Protection Non-Automated </t>
  </si>
  <si>
    <t>22-3</t>
  </si>
  <si>
    <t>Sure Start to Retain HBMA Address EC/SIO Revision</t>
  </si>
  <si>
    <t>Not support HBMA Address</t>
  </si>
  <si>
    <t>22-4</t>
  </si>
  <si>
    <t>Secure Boot Keys Protection - UEFI CA Handling</t>
  </si>
  <si>
    <t>22-5</t>
  </si>
  <si>
    <t>Security Event Notification</t>
  </si>
  <si>
    <t>22-6</t>
  </si>
  <si>
    <t>BIOS Policy Setting – PPI/Secure Boot Key Protection/SureStart BIOS Protection with/without Admin Password</t>
    <phoneticPr fontId="37" type="noConversion"/>
  </si>
  <si>
    <t>This test case is not available for 2022 or above system.</t>
  </si>
  <si>
    <t>26-3</t>
  </si>
  <si>
    <t>BEAM: LAK AND QR PIN</t>
    <phoneticPr fontId="37" type="noConversion"/>
  </si>
  <si>
    <t>26-4</t>
  </si>
  <si>
    <t>BEAM: LAK QR PIN TIMEOUT</t>
  </si>
  <si>
    <t>26-8</t>
  </si>
  <si>
    <t>BEAM: QR PIN ENTRY TIMEOUT AND INVALID PIN ENHANCEMENTS</t>
  </si>
  <si>
    <t>26-9</t>
  </si>
  <si>
    <t>BEAM: UPDATE BAP VIA LAK AUTHENTICATION</t>
  </si>
  <si>
    <t>26-10</t>
  </si>
  <si>
    <t>BEAM: SMC COMMAND AND LAK/BEAM</t>
  </si>
  <si>
    <t>26-11</t>
  </si>
  <si>
    <t>BEAM: DISABLE P21/SPM FROM F10</t>
    <phoneticPr fontId="37" type="noConversion"/>
  </si>
  <si>
    <t>26-12</t>
  </si>
  <si>
    <t>BEAM: SURE START BIOS SETTINGS PROTECTION AND LAK/BEAM</t>
  </si>
  <si>
    <t>26-13</t>
  </si>
  <si>
    <t>BEAM: SURE START BIOS SETTINGS PROTECTION AND LAK - PREBOOT/RECOVERY BEHAVIOUR</t>
  </si>
  <si>
    <t>Only execute on systems that support “Bios Data Recovery Policy"</t>
  </si>
  <si>
    <t>26-17</t>
  </si>
  <si>
    <t>BEAM: CUSTOM LOGO AND LAK/BEAM</t>
  </si>
  <si>
    <t>26-18</t>
  </si>
  <si>
    <t>BEAM: DEVICE GUARD WITH LAK AND BEAM</t>
  </si>
  <si>
    <t>26-21</t>
  </si>
  <si>
    <t>BEAM: INTEL AMT/MEBX</t>
  </si>
  <si>
    <t>26-28</t>
  </si>
  <si>
    <t>BEAM: DISABLE GLOBAL PPI VIA SIGNATURE VERIFICATION</t>
  </si>
  <si>
    <t>26-29</t>
  </si>
  <si>
    <t>BEAM: DESKTOPS AND JUMPER</t>
  </si>
  <si>
    <t>Not support Clear Password Jumper</t>
  </si>
  <si>
    <t>26-30</t>
  </si>
  <si>
    <t>BEAM: ADD SUPPORT FOR KEY ENROLLMENT DATA BLOB</t>
  </si>
  <si>
    <t>Testing is only supported by the Houston Test Team</t>
    <phoneticPr fontId="37" type="noConversion"/>
  </si>
  <si>
    <t>26-31</t>
  </si>
  <si>
    <t>BEAM: REMOTE MANAGEMENT OF FIRMWARE UPDATES WITH FUR AND BEAM/LAK ENABLED</t>
  </si>
  <si>
    <t>26-32</t>
  </si>
  <si>
    <t>BEAM: BIOS Update</t>
  </si>
  <si>
    <t>2019.2 + Platforms with BEAM Support Note do not run on 2021.3+ Platforms</t>
  </si>
  <si>
    <t>31-2</t>
  </si>
  <si>
    <t>Get Key Info, Get Key Owner Info, Set Key WMI with Targeting Support</t>
    <phoneticPr fontId="37" type="noConversion"/>
  </si>
  <si>
    <t>31-8</t>
  </si>
  <si>
    <t>Managed By String</t>
  </si>
  <si>
    <t>31-9</t>
  </si>
  <si>
    <t>Managed By Corrupt Key</t>
    <phoneticPr fontId="37" type="noConversion"/>
  </si>
  <si>
    <t>NOTE: HOUSTON-ONLY</t>
  </si>
  <si>
    <t>31-10</t>
  </si>
  <si>
    <t>Multikey &amp; P21</t>
    <phoneticPr fontId="37" type="noConversion"/>
  </si>
  <si>
    <t>31-12</t>
  </si>
  <si>
    <t>Grey Out HP Cloud Managed in F10 when Threshold Key is Provisioned</t>
  </si>
  <si>
    <t>32-2</t>
  </si>
  <si>
    <t>Lock on WMI Trigger</t>
  </si>
  <si>
    <t>32-3</t>
  </si>
  <si>
    <t>FLIP Lock - Skips DriveLock</t>
  </si>
  <si>
    <t>32-6</t>
  </si>
  <si>
    <t>Remote Device Management Mode/Status in F10</t>
    <phoneticPr fontId="37" type="noConversion"/>
  </si>
  <si>
    <t>32-7</t>
  </si>
  <si>
    <t>Restore Security Settings to Factory Defaults (RSSTFD)</t>
  </si>
  <si>
    <t>32-8</t>
  </si>
  <si>
    <t>Send Threshold Command and "Get Threshold Support" in WMI</t>
  </si>
  <si>
    <t>32-9</t>
  </si>
  <si>
    <t>WIPE Drive Testing w/ Encryption</t>
  </si>
  <si>
    <t>32-10</t>
  </si>
  <si>
    <t>WIPE Drive Testing w/o Encryption</t>
  </si>
  <si>
    <t>SIO2243111 - [Teas-R2][Masala-R2][Refresh][U50_008320][Func][32-10 Step9][B]:System Drive is not erased and boot to OS successfully when run "Wipe on WMI Trigger.pvt" and SendThreshold_Wipe.ps1.</t>
  </si>
  <si>
    <t>32-12</t>
    <phoneticPr fontId="37" type="noConversion"/>
  </si>
  <si>
    <t>Clear Pending FLIP Commands via SMC</t>
    <phoneticPr fontId="37" type="noConversion"/>
  </si>
  <si>
    <t>32-13</t>
  </si>
  <si>
    <t>FLIP: Skip BIOS Update</t>
  </si>
  <si>
    <t>32-14</t>
  </si>
  <si>
    <t>FLIP Device Check</t>
  </si>
  <si>
    <t>8-139</t>
  </si>
  <si>
    <t>Thunderbolt Alt-Mode Off/On</t>
  </si>
  <si>
    <t>8-150</t>
  </si>
  <si>
    <t>Sanitization Mode: Enable/Disable Touch and Keyboard</t>
  </si>
  <si>
    <t>8-166</t>
  </si>
  <si>
    <t>ECRAM COHERENCY</t>
  </si>
  <si>
    <t>For 2019+ Notebooks</t>
    <phoneticPr fontId="37" type="noConversion"/>
  </si>
  <si>
    <t>8-173</t>
  </si>
  <si>
    <t>Stress Test for Private SPI NVRAM Variables</t>
  </si>
  <si>
    <t>For 2020+ Notebook platforms</t>
    <phoneticPr fontId="37" type="noConversion"/>
  </si>
  <si>
    <t>8-183</t>
  </si>
  <si>
    <t>Add HP EpSC GUID BIOS Setting</t>
  </si>
  <si>
    <t>12-1</t>
  </si>
  <si>
    <t>BIOS Normal Update From HP.com and No Proxy – PRODUCTION BIOS</t>
    <phoneticPr fontId="37" type="noConversion"/>
  </si>
  <si>
    <t>For PRODUCTION BIOS</t>
    <phoneticPr fontId="37" type="noConversion"/>
  </si>
  <si>
    <t>12-17</t>
  </si>
  <si>
    <t>SCHEDULED BIOS (INSTALL ALL BIOS UPDATES) FROM HP.COM WITH PROXY  – PRODUCTION BIOS</t>
  </si>
  <si>
    <t>12-19</t>
  </si>
  <si>
    <t>SCHEDULED BIOS (INSTALL USER DECIDED  BIOS UPDATES) FROM HP.COM WITH PROXY  – PRODUCTION BIOS</t>
  </si>
  <si>
    <t>12-21</t>
  </si>
  <si>
    <t>SCHEDULED BIOS (INSTALL ONLY IMPORTANT  BIOS UPDATES) WITH PROXY FROM CUSTOM URL</t>
  </si>
  <si>
    <t>12-25</t>
  </si>
  <si>
    <t>SCHEDULED BIOS (INSTALL ONLY IMPORTANT  OR ALL BIOS UPDATES) (BIOS ADMIN PASS + POST POWER ON PASSWORD) WITH PROXY FROM CUSTOM URL</t>
  </si>
  <si>
    <t>12-26</t>
  </si>
  <si>
    <t>SCHEDULED BIOS (INSTALL USER DECIDED  BIOS UPDATES) (BIOS ADMIN PASS + POST POWER ON PASSWORD) WITH PROXY FROM CUSTOM URL</t>
  </si>
  <si>
    <t>12-35</t>
  </si>
  <si>
    <t>BIOS Normal Update from Custom Url  with Proxy – Production BIOS</t>
  </si>
  <si>
    <t>12-36</t>
  </si>
  <si>
    <t>BIOS Update Screen UX Improvement (Network Update)</t>
  </si>
  <si>
    <t>13-1</t>
  </si>
  <si>
    <t>SSL - SHARED FLASH BOOT BLOCK-A CORRUPTION</t>
  </si>
  <si>
    <t>For Sure Start lite platform</t>
  </si>
  <si>
    <t>13-2</t>
  </si>
  <si>
    <t>SSL - SHARED FLASH BOOT BLOCK-B CORRUPTION</t>
  </si>
  <si>
    <t>13-7</t>
  </si>
  <si>
    <t xml:space="preserve">SSL - S3(STANDBY) RESUME INTERFERENCE TESTING </t>
  </si>
  <si>
    <t>13-11</t>
  </si>
  <si>
    <t xml:space="preserve">SSL - FLASH COMPLETE FLAG CORRUPTION BOOT BLOCK A AND B </t>
  </si>
  <si>
    <t>14-1</t>
  </si>
  <si>
    <t>TEST WITH PRODUCTION SIGNED BIOS</t>
  </si>
  <si>
    <t>14-2</t>
  </si>
  <si>
    <t>BIOS F10 SETTINGS FOR  FIREBIRD POLICY WITH AUTOMATION</t>
  </si>
  <si>
    <t>14-4</t>
  </si>
  <si>
    <t>BIOS F10 SETTING FOR FIREBIRD SETTING WITH MANUAL MODE</t>
  </si>
  <si>
    <t>14-11</t>
  </si>
  <si>
    <t xml:space="preserve">COLD RESET - BB RECOVERY – SHARED FLASH BOOT BLOCK CORRUPTION WITH UNLOCK AUTO MODE </t>
  </si>
  <si>
    <t>14-14</t>
  </si>
  <si>
    <t xml:space="preserve">COLD RESET - BB RECOVERY- PRIVATE FLASH BB CORRUPTION WITH UNLOCK/AUTO MODE </t>
  </si>
  <si>
    <t>14-17</t>
  </si>
  <si>
    <t>BB RECOVERY – SHARED FLASH BOOT BLOCK CORRUPTION WITH AUTO/LOCKED MODE</t>
  </si>
  <si>
    <t>14-23</t>
  </si>
  <si>
    <t>BB RECOVERY – SHARED FLASH BOOT BLOCK CORRUPTION WITH UNLOCK, AUTO AND AGGRESSIVE ON</t>
  </si>
  <si>
    <t>14-24</t>
  </si>
  <si>
    <t>BB RECOVERY – SHARED FLASH BOOT BLOCK CORRUPTION WITH UNLOCK AUTO MODE ON S0</t>
  </si>
  <si>
    <t>14-27</t>
  </si>
  <si>
    <t>DESCRIPTOR RECOVERY – SHARED FLASH DESCRIPTOR WITH ME OFF, AGGRESSIVE ON, AUTO MODE</t>
  </si>
  <si>
    <t>14-32</t>
  </si>
  <si>
    <t>GBE RECOVERY – SHARED FLASH GBE WITH AGGRESSIVE ON, GBE ENABLE, AUTO MODE</t>
  </si>
  <si>
    <t>14-39</t>
  </si>
  <si>
    <t>MUD RECOVERY – SHARED FLASH MUD WITH AGGRESSIVE ON, MANUAL MODE</t>
  </si>
  <si>
    <t>14-54</t>
  </si>
  <si>
    <t>STRESS TEST  – BB SHARED RECOVERY ON S0</t>
  </si>
  <si>
    <t>14-57</t>
  </si>
  <si>
    <t>DXE RECOVERY – SHARED FLASH DXE-A CORRUPTION WITH UNLOCK AUTO MODE</t>
  </si>
  <si>
    <t>14-63</t>
  </si>
  <si>
    <t>MUD Recovery - Shared Flash MUD with ME Off, Agressive Off, Manual Mode</t>
  </si>
  <si>
    <t>14-75</t>
  </si>
  <si>
    <t>PVT SPI Capture BB/DXE on Factory Mode – Compare Capture Time with PVT Flash Empty or Not</t>
  </si>
  <si>
    <t xml:space="preserve"> If BIOS has Smart Flash feature, This test case is not applicable ( 2019 Some Platforms or above Platforms).</t>
    <phoneticPr fontId="39" type="noConversion"/>
  </si>
  <si>
    <t>14-76</t>
  </si>
  <si>
    <t>Sure Start verify Boot block twice before conclude the corruption</t>
  </si>
  <si>
    <t>This test case is not available for 2024 or above system.</t>
  </si>
  <si>
    <t>15-15</t>
  </si>
  <si>
    <t>Cypress/TI_AR - Message ID: 3 DEVICE REQUESTS TOO MUCH POWER</t>
    <phoneticPr fontId="37" type="noConversion"/>
  </si>
  <si>
    <t>SIO2248099 - [Teas-R2][Masala-R2][Refresh][U50_008420][Func][15-15 AC1_Step:6][B]: WinPVT reports an error "Call failed - No Message (80/0x50)" when run '15_15_Message_ID_3_Device_Requests_More_Power.PVT'.</t>
  </si>
  <si>
    <t>15-32</t>
  </si>
  <si>
    <t>Cypress/TI_AR - MESSAGE ID: 13 PORT OVER VOLTAGE</t>
  </si>
  <si>
    <t>Not support Typ-c adapter</t>
    <phoneticPr fontId="39" type="noConversion"/>
  </si>
  <si>
    <t>15-55</t>
  </si>
  <si>
    <t>USB-C BC 1.2 Compliance</t>
  </si>
  <si>
    <t>18-1</t>
  </si>
  <si>
    <t>SURESTART 2016: ENABLE TEST MODE</t>
  </si>
  <si>
    <t>18-2</t>
  </si>
  <si>
    <t>BIOS F10 SETTINGS FOR SURESTART 3 POLICY WITH AUTOMATION</t>
    <phoneticPr fontId="37" type="noConversion"/>
  </si>
  <si>
    <t>18-3</t>
  </si>
  <si>
    <t>SURESTART 3 TEST MODE ENABLE/DISABLE CHECKING</t>
  </si>
  <si>
    <t>18-4</t>
  </si>
  <si>
    <t>LEVEL2 DETECTION RO SMM – SURESTART 3 DETECTION AND PROTECTION RO SMM PAGE</t>
  </si>
  <si>
    <t>This test case only valid AMD 2018 or below system</t>
  </si>
  <si>
    <t>18-5</t>
  </si>
  <si>
    <t xml:space="preserve">LEVEL2 SMM HANDLER ATTEMPTS – SURESTART 3 MODIFY PAGE TO SMM RO PAGE </t>
  </si>
  <si>
    <t>18-10</t>
  </si>
  <si>
    <t>SURESTART3 COMMAND CHECKING – CHECKING SS3 COMMAND (NEGATIVE TESTING)</t>
  </si>
  <si>
    <t>18-11</t>
  </si>
  <si>
    <t>SureStart Policy Protection Manually Register Missing Protected Variables</t>
  </si>
  <si>
    <t>18-12</t>
  </si>
  <si>
    <t>SureStart Policy Protection and Recovery: Gray-out Protected Options in F10</t>
  </si>
  <si>
    <t>18-13</t>
  </si>
  <si>
    <t>SURESTART POLICY PROTECTION AND RECOVERY (MANUAL MODE)</t>
  </si>
  <si>
    <t>18-14</t>
  </si>
  <si>
    <t>SureStart Policy Protection and Recovery: New WMI Options and PPI to allow unlocking policies from WMI</t>
  </si>
  <si>
    <t>18-15</t>
  </si>
  <si>
    <t>SureStart Policy Protection and Recovery: Unlocking policies from F10</t>
    <phoneticPr fontId="37" type="noConversion"/>
  </si>
  <si>
    <t>18-17</t>
  </si>
  <si>
    <t>LEVEL1 EXECUTE/ DETECTION NX SMM – SURESTART 3 SMM TO EXECUTE/DETECT SMM NX AND RO PAGES</t>
  </si>
  <si>
    <t>18-18</t>
  </si>
  <si>
    <t>LEVEL1 SMM HANDLER ATTEMPTS – SURESTART 3 EXECUTE OR MODIFY PAGE TO SMM NX/RO PAGE</t>
    <phoneticPr fontId="37" type="noConversion"/>
  </si>
  <si>
    <t>18-22</t>
  </si>
  <si>
    <t>Only admin can initiate SS3 demo mode, NULL BIOS Admin Password is equivalent to Empty BIOS Admin password</t>
  </si>
  <si>
    <t>18-23</t>
  </si>
  <si>
    <t>MISC BIOS Test Mode Internal Use Only</t>
  </si>
  <si>
    <t>18-25</t>
  </si>
  <si>
    <t>Level1 Execute/ Detection NX SMM – SMM to execute/Detect SMM NX pages with SMM/DRTM Option  **( AMD system only)</t>
  </si>
  <si>
    <t>24-1</t>
  </si>
  <si>
    <t>Flash Master Settings – ME Flash Master Settings with MPM Lock</t>
  </si>
  <si>
    <t>24-2</t>
  </si>
  <si>
    <t>CSME Recovery – Shared Flash CSME Corruption and Recovery</t>
  </si>
  <si>
    <t>24-3</t>
  </si>
  <si>
    <t>CSME Recovery – PVT Flash CSME Corruption and Recovery</t>
  </si>
  <si>
    <t>24-4</t>
  </si>
  <si>
    <t>CSME RECOVERY – SHARED FLASH CSME CORRUPTION AND RECOVERY WITH TEST MODE</t>
  </si>
  <si>
    <t>24-5</t>
  </si>
  <si>
    <t>CSME RECOVERY – DIFFERENT BIOS AND ME VERSION CSME RECOVERY</t>
  </si>
  <si>
    <t>24-6</t>
  </si>
  <si>
    <t>CSME RECOVERY – CSME RECOVERY NEGATIVE TESTING</t>
  </si>
  <si>
    <t>24-7</t>
  </si>
  <si>
    <t>CSME RECOVERY – SHARED FLASH CSME CORRUPTION AND RECOVERY STRESS TESTING WITH TEST MODE</t>
  </si>
  <si>
    <t>24-8</t>
  </si>
  <si>
    <t>CSME RECOVERY - Core BIOS implementation for Intel ME recovery. Includes HMAC commands and EC logging Interfaces.</t>
    <phoneticPr fontId="37" type="noConversion"/>
  </si>
  <si>
    <t>24-9</t>
  </si>
  <si>
    <t>CSME RECOVERY - IMPLEMENT THE SMBIOS TYPE 11 ENTRY TO REPORT SURE START 5 ME RECOVERY SOLUTION</t>
  </si>
  <si>
    <t>24-10</t>
  </si>
  <si>
    <t>CSME RECOVERY – FULL ERASED SHARED FLASH AND RECOVERY</t>
    <phoneticPr fontId="37" type="noConversion"/>
  </si>
  <si>
    <t>25-1</t>
  </si>
  <si>
    <t>Desktop SIO/EC Compliance Testing</t>
    <phoneticPr fontId="37" type="noConversion"/>
  </si>
  <si>
    <t>27-1</t>
  </si>
  <si>
    <t xml:space="preserve">SMART FLASH – FACTORY SYSTEM BOOT TIME  </t>
    <phoneticPr fontId="37" type="noConversion"/>
  </si>
  <si>
    <t>27-2</t>
  </si>
  <si>
    <t>Smart Flash – Boot Block Recovery Time  with Different Corruption Size</t>
    <phoneticPr fontId="37" type="noConversion"/>
  </si>
  <si>
    <t>29-1</t>
  </si>
  <si>
    <t xml:space="preserve">EC RTID – EC/SIO Memory Corruption and recovery </t>
  </si>
  <si>
    <t>29-2</t>
  </si>
  <si>
    <t xml:space="preserve">AMD PSP Recovery - PSP Recovery Support Auditlog Checking </t>
  </si>
  <si>
    <t>29-3</t>
  </si>
  <si>
    <t xml:space="preserve">AMD PSP Recovery - PSP Recovery Testing for all PSP Area </t>
  </si>
  <si>
    <t>29-4</t>
  </si>
  <si>
    <t>AMD PSP Recovery – Full Erased Shared Flash and Recovery</t>
  </si>
  <si>
    <t>29-5</t>
  </si>
  <si>
    <t>AMD PSP Recovery - Stress Test PSP Recovery</t>
    <phoneticPr fontId="37" type="noConversion"/>
  </si>
  <si>
    <t>29-6</t>
  </si>
  <si>
    <t xml:space="preserve">AMD PSP Recovery - Power Failure Testing During Recovery  </t>
  </si>
  <si>
    <t>29-7</t>
  </si>
  <si>
    <t xml:space="preserve">HSA Register checking  - Confirm HSA Lock bit setting correctly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</si>
</sst>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font>
      <sz val="11"/>
      <color theme="1"/>
      <name val="新細明體"/>
      <family val="2"/>
      <scheme val="minor"/>
    </font>
    <font>
      <sz val="10"/>
      <name val="Arial"/>
      <family val="2"/>
    </font>
    <font>
      <sz val="10"/>
      <color theme="1"/>
      <name val="Arial"/>
      <family val="2"/>
    </font>
    <font>
      <sz val="10"/>
      <color indexed="8"/>
      <name val="MS Sans Serif"/>
      <family val="2"/>
    </font>
    <font>
      <b/>
      <sz val="18"/>
      <color indexed="8"/>
      <name val="MS Sans Serif"/>
      <family val="2"/>
    </font>
    <font>
      <b/>
      <sz val="18"/>
      <color indexed="12"/>
      <name val="MS Sans Serif"/>
      <family val="2"/>
    </font>
    <font>
      <b/>
      <sz val="8"/>
      <color indexed="8"/>
      <name val="MS Sans Serif"/>
      <family val="2"/>
    </font>
    <font>
      <b/>
      <sz val="10"/>
      <color rgb="FF009A46"/>
      <name val="MS Sans Serif"/>
      <family val="2"/>
    </font>
    <font>
      <b/>
      <sz val="10"/>
      <color indexed="10"/>
      <name val="MS Sans Serif"/>
      <family val="2"/>
    </font>
    <font>
      <b/>
      <sz val="8"/>
      <name val="Arial"/>
      <family val="2"/>
    </font>
    <font>
      <b/>
      <sz val="10"/>
      <color theme="1"/>
      <name val="MS Sans Serif"/>
      <family val="2"/>
    </font>
    <font>
      <b/>
      <sz val="8"/>
      <color rgb="FF00B050"/>
      <name val="MS Sans Serif"/>
      <family val="2"/>
    </font>
    <font>
      <b/>
      <sz val="8"/>
      <color rgb="FFFF0000"/>
      <name val="MS Sans Serif"/>
      <family val="2"/>
    </font>
    <font>
      <b/>
      <sz val="8"/>
      <color rgb="FFFFC000"/>
      <name val="MS Sans Serif"/>
      <family val="2"/>
    </font>
    <font>
      <b/>
      <sz val="8"/>
      <color theme="4"/>
      <name val="MS Sans Serif"/>
      <family val="2"/>
    </font>
    <font>
      <b/>
      <sz val="8"/>
      <color theme="0" tint="-0.499984740745262"/>
      <name val="MS Sans Serif"/>
      <family val="2"/>
    </font>
    <font>
      <b/>
      <sz val="8"/>
      <color theme="9" tint="-0.499984740745262"/>
      <name val="MS Sans Serif"/>
      <family val="2"/>
    </font>
    <font>
      <b/>
      <sz val="8"/>
      <color theme="7"/>
      <name val="MS Sans Serif"/>
      <family val="2"/>
    </font>
    <font>
      <b/>
      <sz val="8"/>
      <color rgb="FF0070C0"/>
      <name val="MS Sans Serif"/>
      <family val="2"/>
    </font>
    <font>
      <b/>
      <sz val="8"/>
      <color rgb="FF7030A0"/>
      <name val="MS Sans Serif"/>
      <family val="2"/>
    </font>
    <font>
      <sz val="8"/>
      <color indexed="8"/>
      <name val="MS Sans Serif"/>
      <family val="2"/>
    </font>
    <font>
      <sz val="8"/>
      <color rgb="FF00B050"/>
      <name val="MS Sans Serif"/>
      <family val="2"/>
    </font>
    <font>
      <sz val="8"/>
      <color rgb="FFFF0000"/>
      <name val="MS Sans Serif"/>
      <family val="2"/>
    </font>
    <font>
      <sz val="8"/>
      <color rgb="FFFFC000"/>
      <name val="MS Sans Serif"/>
      <family val="2"/>
    </font>
    <font>
      <sz val="8"/>
      <color theme="4"/>
      <name val="MS Sans Serif"/>
      <family val="2"/>
    </font>
    <font>
      <sz val="8"/>
      <color theme="0" tint="-0.499984740745262"/>
      <name val="MS Sans Serif"/>
      <family val="2"/>
    </font>
    <font>
      <sz val="8"/>
      <color theme="9" tint="-0.499984740745262"/>
      <name val="MS Sans Serif"/>
      <family val="2"/>
    </font>
    <font>
      <sz val="8"/>
      <color rgb="FF7030A0"/>
      <name val="MS Sans Serif"/>
      <family val="2"/>
    </font>
    <font>
      <sz val="8"/>
      <color rgb="FF0070C0"/>
      <name val="MS Sans Serif"/>
      <family val="2"/>
    </font>
    <font>
      <b/>
      <sz val="22"/>
      <color theme="1"/>
      <name val="新細明體"/>
      <family val="2"/>
      <scheme val="minor"/>
    </font>
    <font>
      <sz val="22"/>
      <color theme="1"/>
      <name val="新細明體"/>
      <family val="2"/>
      <scheme val="minor"/>
    </font>
    <font>
      <i/>
      <sz val="11"/>
      <color rgb="FFFF0000"/>
      <name val="新細明體"/>
      <family val="2"/>
      <scheme val="minor"/>
    </font>
    <font>
      <b/>
      <sz val="36"/>
      <color theme="1"/>
      <name val="新細明體"/>
      <family val="2"/>
      <scheme val="minor"/>
    </font>
    <font>
      <sz val="20"/>
      <color theme="1"/>
      <name val="新細明體"/>
      <family val="2"/>
      <scheme val="minor"/>
    </font>
    <font>
      <sz val="11"/>
      <color theme="0" tint="-0.249977111117893"/>
      <name val="新細明體"/>
      <family val="2"/>
      <scheme val="minor"/>
    </font>
    <font>
      <b/>
      <sz val="14"/>
      <color rgb="FFFF0000"/>
      <name val="新細明體"/>
      <family val="2"/>
      <scheme val="minor"/>
    </font>
    <font>
      <b/>
      <sz val="11"/>
      <color rgb="FFFF0000"/>
      <name val="新細明體"/>
      <family val="1"/>
      <charset val="136"/>
      <scheme val="minor"/>
    </font>
    <font>
      <sz val="9"/>
      <name val="新細明體"/>
      <family val="3"/>
      <charset val="136"/>
      <scheme val="minor"/>
    </font>
    <font>
      <b/>
      <sz val="14"/>
      <color theme="1"/>
      <name val="新細明體"/>
      <family val="1"/>
      <charset val="136"/>
      <scheme val="minor"/>
    </font>
    <font>
      <sz val="9"/>
      <name val="新細明體"/>
      <family val="2"/>
      <charset val="136"/>
      <scheme val="minor"/>
    </font>
    <font>
      <sz val="9"/>
      <name val="新細明體"/>
      <family val="3"/>
      <charset val="134"/>
      <scheme val="minor"/>
    </font>
    <font>
      <sz val="11"/>
      <name val="新細明體"/>
      <family val="2"/>
      <scheme val="minor"/>
    </font>
  </fonts>
  <fills count="6">
    <fill>
      <patternFill patternType="none"/>
    </fill>
    <fill>
      <patternFill patternType="gray125"/>
    </fill>
    <fill>
      <patternFill patternType="solid">
        <fgColor indexed="42"/>
        <bgColor indexed="64"/>
      </patternFill>
    </fill>
    <fill>
      <patternFill patternType="gray0625">
        <bgColor theme="0" tint="-0.14999847407452621"/>
      </patternFill>
    </fill>
    <fill>
      <patternFill patternType="solid">
        <fgColor theme="4" tint="0.79998168889431442"/>
        <bgColor indexed="64"/>
      </patternFill>
    </fill>
    <fill>
      <patternFill patternType="solid">
        <fgColor theme="0"/>
        <bgColor indexed="64"/>
      </patternFill>
    </fill>
  </fills>
  <borders count="3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theme="0" tint="-0.34998626667073579"/>
      </bottom>
      <diagonal/>
    </border>
    <border>
      <left/>
      <right style="thin">
        <color indexed="64"/>
      </right>
      <top style="medium">
        <color indexed="64"/>
      </top>
      <bottom style="thin">
        <color theme="0" tint="-0.34998626667073579"/>
      </bottom>
      <diagonal/>
    </border>
    <border>
      <left style="thin">
        <color indexed="64"/>
      </left>
      <right style="medium">
        <color indexed="64"/>
      </right>
      <top style="medium">
        <color indexed="64"/>
      </top>
      <bottom style="thin">
        <color theme="0" tint="-0.34998626667073579"/>
      </bottom>
      <diagonal/>
    </border>
    <border>
      <left/>
      <right/>
      <top style="medium">
        <color indexed="64"/>
      </top>
      <bottom style="thin">
        <color theme="0" tint="-0.34998626667073579"/>
      </bottom>
      <diagonal/>
    </border>
    <border>
      <left style="medium">
        <color indexed="64"/>
      </left>
      <right style="thin">
        <color indexed="64"/>
      </right>
      <top style="medium">
        <color indexed="64"/>
      </top>
      <bottom style="thin">
        <color theme="0" tint="-0.34998626667073579"/>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theme="0" tint="-0.34998626667073579"/>
      </bottom>
      <diagonal/>
    </border>
    <border>
      <left style="thin">
        <color indexed="64"/>
      </left>
      <right style="thin">
        <color indexed="64"/>
      </right>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medium">
        <color indexed="64"/>
      </right>
      <top style="medium">
        <color indexed="64"/>
      </top>
      <bottom style="thin">
        <color theme="0" tint="-0.34998626667073579"/>
      </bottom>
      <diagonal/>
    </border>
  </borders>
  <cellStyleXfs count="5">
    <xf numFmtId="0" fontId="0" fillId="0" borderId="0"/>
    <xf numFmtId="0" fontId="1" fillId="0" borderId="0"/>
    <xf numFmtId="0" fontId="2" fillId="0" borderId="0"/>
    <xf numFmtId="0" fontId="3" fillId="0" borderId="0"/>
    <xf numFmtId="0" fontId="2" fillId="0" borderId="0"/>
  </cellStyleXfs>
  <cellXfs count="102">
    <xf numFmtId="0" fontId="0" fillId="0" borderId="0" xfId="0"/>
    <xf numFmtId="0" fontId="6" fillId="2" borderId="7" xfId="3" applyFont="1" applyFill="1" applyBorder="1" applyAlignment="1">
      <alignment horizontal="center"/>
    </xf>
    <xf numFmtId="0" fontId="6" fillId="2" borderId="8" xfId="3" applyFont="1" applyFill="1" applyBorder="1" applyAlignment="1">
      <alignment horizontal="center" wrapText="1"/>
    </xf>
    <xf numFmtId="0" fontId="6" fillId="2" borderId="9" xfId="3" applyFont="1" applyFill="1" applyBorder="1" applyAlignment="1">
      <alignment horizontal="center" wrapText="1"/>
    </xf>
    <xf numFmtId="0" fontId="6" fillId="2" borderId="10" xfId="3" applyFont="1" applyFill="1" applyBorder="1" applyAlignment="1">
      <alignment horizontal="center" wrapText="1"/>
    </xf>
    <xf numFmtId="0" fontId="6" fillId="2" borderId="11" xfId="3" applyFont="1" applyFill="1" applyBorder="1" applyAlignment="1">
      <alignment horizontal="center" wrapText="1"/>
    </xf>
    <xf numFmtId="0" fontId="6" fillId="2" borderId="12" xfId="3" applyFont="1" applyFill="1" applyBorder="1" applyAlignment="1">
      <alignment horizontal="center" wrapText="1"/>
    </xf>
    <xf numFmtId="0" fontId="6" fillId="2" borderId="13" xfId="3" applyFont="1" applyFill="1" applyBorder="1" applyAlignment="1">
      <alignment horizontal="center" wrapText="1"/>
    </xf>
    <xf numFmtId="0" fontId="6" fillId="2" borderId="7" xfId="3" applyFont="1" applyFill="1" applyBorder="1" applyAlignment="1">
      <alignment horizontal="center" wrapText="1"/>
    </xf>
    <xf numFmtId="0" fontId="6" fillId="2" borderId="14" xfId="3" applyFont="1" applyFill="1" applyBorder="1" applyAlignment="1">
      <alignment horizontal="center" wrapText="1"/>
    </xf>
    <xf numFmtId="164" fontId="7" fillId="3" borderId="10" xfId="3" applyNumberFormat="1" applyFont="1" applyFill="1" applyBorder="1" applyAlignment="1">
      <alignment horizontal="right" indent="1"/>
    </xf>
    <xf numFmtId="164" fontId="8" fillId="3" borderId="10" xfId="3" applyNumberFormat="1" applyFont="1" applyFill="1" applyBorder="1" applyAlignment="1">
      <alignment horizontal="right" indent="1"/>
    </xf>
    <xf numFmtId="2" fontId="7" fillId="3" borderId="11" xfId="3" applyNumberFormat="1" applyFont="1" applyFill="1" applyBorder="1" applyAlignment="1">
      <alignment horizontal="right" indent="1"/>
    </xf>
    <xf numFmtId="2" fontId="8" fillId="3" borderId="11" xfId="3" applyNumberFormat="1" applyFont="1" applyFill="1" applyBorder="1" applyAlignment="1">
      <alignment horizontal="right" indent="1"/>
    </xf>
    <xf numFmtId="2" fontId="8" fillId="3" borderId="10" xfId="3" applyNumberFormat="1" applyFont="1" applyFill="1" applyBorder="1" applyAlignment="1">
      <alignment horizontal="right" indent="1"/>
    </xf>
    <xf numFmtId="2" fontId="8" fillId="3" borderId="15" xfId="3" applyNumberFormat="1" applyFont="1" applyFill="1" applyBorder="1" applyAlignment="1">
      <alignment horizontal="right" indent="1"/>
    </xf>
    <xf numFmtId="2" fontId="8" fillId="3" borderId="7" xfId="3" applyNumberFormat="1" applyFont="1" applyFill="1" applyBorder="1" applyAlignment="1">
      <alignment horizontal="right" indent="1"/>
    </xf>
    <xf numFmtId="164" fontId="7" fillId="3" borderId="11" xfId="3" applyNumberFormat="1" applyFont="1" applyFill="1" applyBorder="1" applyAlignment="1">
      <alignment horizontal="right" indent="1"/>
    </xf>
    <xf numFmtId="1" fontId="6" fillId="4" borderId="19" xfId="3" applyNumberFormat="1" applyFont="1" applyFill="1" applyBorder="1" applyAlignment="1">
      <alignment horizontal="center" vertical="center"/>
    </xf>
    <xf numFmtId="1" fontId="11" fillId="4" borderId="20" xfId="3" applyNumberFormat="1" applyFont="1" applyFill="1" applyBorder="1" applyAlignment="1">
      <alignment horizontal="center" vertical="center"/>
    </xf>
    <xf numFmtId="1" fontId="12" fillId="4" borderId="20" xfId="3" applyNumberFormat="1" applyFont="1" applyFill="1" applyBorder="1" applyAlignment="1">
      <alignment horizontal="center" vertical="center"/>
    </xf>
    <xf numFmtId="1" fontId="13" fillId="4" borderId="20" xfId="3" applyNumberFormat="1" applyFont="1" applyFill="1" applyBorder="1" applyAlignment="1">
      <alignment horizontal="center" vertical="center"/>
    </xf>
    <xf numFmtId="1" fontId="14" fillId="4" borderId="20" xfId="3" applyNumberFormat="1" applyFont="1" applyFill="1" applyBorder="1" applyAlignment="1">
      <alignment horizontal="center" vertical="center"/>
    </xf>
    <xf numFmtId="1" fontId="15" fillId="4" borderId="21" xfId="3" applyNumberFormat="1" applyFont="1" applyFill="1" applyBorder="1" applyAlignment="1">
      <alignment horizontal="center" vertical="center"/>
    </xf>
    <xf numFmtId="1" fontId="11" fillId="4" borderId="22" xfId="3" applyNumberFormat="1" applyFont="1" applyFill="1" applyBorder="1" applyAlignment="1">
      <alignment horizontal="center" vertical="center"/>
    </xf>
    <xf numFmtId="1" fontId="16" fillId="4" borderId="23" xfId="3" applyNumberFormat="1" applyFont="1" applyFill="1" applyBorder="1" applyAlignment="1">
      <alignment horizontal="center" vertical="center"/>
    </xf>
    <xf numFmtId="1" fontId="17" fillId="4" borderId="22" xfId="3" applyNumberFormat="1" applyFont="1" applyFill="1" applyBorder="1" applyAlignment="1">
      <alignment horizontal="center" vertical="center"/>
    </xf>
    <xf numFmtId="10" fontId="6" fillId="4" borderId="25" xfId="3" applyNumberFormat="1" applyFont="1" applyFill="1" applyBorder="1" applyAlignment="1">
      <alignment horizontal="center" vertical="center"/>
    </xf>
    <xf numFmtId="10" fontId="11" fillId="4" borderId="25" xfId="3" applyNumberFormat="1" applyFont="1" applyFill="1" applyBorder="1" applyAlignment="1">
      <alignment horizontal="center" vertical="center"/>
    </xf>
    <xf numFmtId="10" fontId="12" fillId="4" borderId="25" xfId="3" applyNumberFormat="1" applyFont="1" applyFill="1" applyBorder="1" applyAlignment="1">
      <alignment horizontal="center" vertical="center"/>
    </xf>
    <xf numFmtId="10" fontId="13" fillId="4" borderId="25" xfId="3" applyNumberFormat="1" applyFont="1" applyFill="1" applyBorder="1" applyAlignment="1">
      <alignment horizontal="center" vertical="center"/>
    </xf>
    <xf numFmtId="10" fontId="18" fillId="4" borderId="25" xfId="3" applyNumberFormat="1" applyFont="1" applyFill="1" applyBorder="1" applyAlignment="1">
      <alignment horizontal="center" vertical="center"/>
    </xf>
    <xf numFmtId="10" fontId="15" fillId="4" borderId="25" xfId="3" applyNumberFormat="1" applyFont="1" applyFill="1" applyBorder="1" applyAlignment="1">
      <alignment horizontal="center" vertical="center"/>
    </xf>
    <xf numFmtId="10" fontId="15" fillId="4" borderId="24" xfId="3" applyNumberFormat="1" applyFont="1" applyFill="1" applyBorder="1" applyAlignment="1">
      <alignment horizontal="center" vertical="center"/>
    </xf>
    <xf numFmtId="10" fontId="16" fillId="4" borderId="25" xfId="3" applyNumberFormat="1" applyFont="1" applyFill="1" applyBorder="1" applyAlignment="1">
      <alignment horizontal="center" vertical="center"/>
    </xf>
    <xf numFmtId="10" fontId="19" fillId="4" borderId="12" xfId="3" applyNumberFormat="1" applyFont="1" applyFill="1" applyBorder="1" applyAlignment="1">
      <alignment horizontal="center" vertical="center"/>
    </xf>
    <xf numFmtId="1" fontId="20" fillId="5" borderId="19" xfId="3" applyNumberFormat="1" applyFont="1" applyFill="1" applyBorder="1" applyAlignment="1">
      <alignment horizontal="center" vertical="center"/>
    </xf>
    <xf numFmtId="1" fontId="21" fillId="5" borderId="20" xfId="3" applyNumberFormat="1" applyFont="1" applyFill="1" applyBorder="1" applyAlignment="1">
      <alignment horizontal="center" vertical="center"/>
    </xf>
    <xf numFmtId="1" fontId="22" fillId="5" borderId="29" xfId="3" applyNumberFormat="1" applyFont="1" applyFill="1" applyBorder="1" applyAlignment="1">
      <alignment horizontal="center" vertical="center"/>
    </xf>
    <xf numFmtId="1" fontId="23" fillId="5" borderId="30" xfId="3" applyNumberFormat="1" applyFont="1" applyFill="1" applyBorder="1" applyAlignment="1">
      <alignment horizontal="center" vertical="center"/>
    </xf>
    <xf numFmtId="1" fontId="24" fillId="5" borderId="19" xfId="3" applyNumberFormat="1" applyFont="1" applyFill="1" applyBorder="1" applyAlignment="1">
      <alignment horizontal="center" vertical="center"/>
    </xf>
    <xf numFmtId="1" fontId="25" fillId="5" borderId="31" xfId="3" applyNumberFormat="1" applyFont="1" applyFill="1" applyBorder="1" applyAlignment="1">
      <alignment horizontal="center" vertical="center"/>
    </xf>
    <xf numFmtId="1" fontId="25" fillId="5" borderId="32" xfId="3" applyNumberFormat="1" applyFont="1" applyFill="1" applyBorder="1" applyAlignment="1">
      <alignment horizontal="center" vertical="center"/>
    </xf>
    <xf numFmtId="1" fontId="26" fillId="5" borderId="20" xfId="3" applyNumberFormat="1" applyFont="1" applyFill="1" applyBorder="1" applyAlignment="1">
      <alignment horizontal="center" vertical="center"/>
    </xf>
    <xf numFmtId="1" fontId="27" fillId="5" borderId="21" xfId="3" applyNumberFormat="1" applyFont="1" applyFill="1" applyBorder="1" applyAlignment="1">
      <alignment horizontal="center" vertical="center"/>
    </xf>
    <xf numFmtId="10" fontId="20" fillId="5" borderId="25" xfId="3" applyNumberFormat="1" applyFont="1" applyFill="1" applyBorder="1" applyAlignment="1">
      <alignment horizontal="center" vertical="center"/>
    </xf>
    <xf numFmtId="10" fontId="21" fillId="5" borderId="25" xfId="3" applyNumberFormat="1" applyFont="1" applyFill="1" applyBorder="1" applyAlignment="1">
      <alignment horizontal="center" vertical="center"/>
    </xf>
    <xf numFmtId="10" fontId="22" fillId="5" borderId="25" xfId="3" applyNumberFormat="1" applyFont="1" applyFill="1" applyBorder="1" applyAlignment="1">
      <alignment horizontal="center" vertical="center"/>
    </xf>
    <xf numFmtId="10" fontId="23" fillId="5" borderId="25" xfId="3" applyNumberFormat="1" applyFont="1" applyFill="1" applyBorder="1" applyAlignment="1">
      <alignment horizontal="center" vertical="center"/>
    </xf>
    <xf numFmtId="10" fontId="28" fillId="5" borderId="25" xfId="3" applyNumberFormat="1" applyFont="1" applyFill="1" applyBorder="1" applyAlignment="1">
      <alignment horizontal="center" vertical="center"/>
    </xf>
    <xf numFmtId="10" fontId="25" fillId="5" borderId="25" xfId="3" applyNumberFormat="1" applyFont="1" applyFill="1" applyBorder="1" applyAlignment="1">
      <alignment horizontal="center" vertical="center"/>
    </xf>
    <xf numFmtId="10" fontId="25" fillId="5" borderId="24" xfId="3" applyNumberFormat="1" applyFont="1" applyFill="1" applyBorder="1" applyAlignment="1">
      <alignment horizontal="center" vertical="center"/>
    </xf>
    <xf numFmtId="10" fontId="26" fillId="5" borderId="25" xfId="3" applyNumberFormat="1" applyFont="1" applyFill="1" applyBorder="1" applyAlignment="1">
      <alignment horizontal="center" vertical="center"/>
    </xf>
    <xf numFmtId="10" fontId="27" fillId="5" borderId="12" xfId="3" applyNumberFormat="1" applyFont="1" applyFill="1" applyBorder="1" applyAlignment="1">
      <alignment horizontal="center" vertical="center"/>
    </xf>
    <xf numFmtId="49" fontId="0" fillId="0" borderId="0" xfId="0" applyNumberFormat="1"/>
    <xf numFmtId="0" fontId="0" fillId="0" borderId="0" xfId="0" applyAlignment="1">
      <alignment horizontal="center"/>
    </xf>
    <xf numFmtId="0" fontId="0" fillId="0" borderId="0" xfId="0" applyAlignment="1">
      <alignment vertical="center"/>
    </xf>
    <xf numFmtId="49" fontId="0" fillId="0" borderId="0" xfId="0" applyNumberFormat="1" applyAlignment="1">
      <alignment horizontal="center"/>
    </xf>
    <xf numFmtId="49" fontId="34" fillId="0" borderId="0" xfId="0" applyNumberFormat="1" applyFont="1"/>
    <xf numFmtId="49" fontId="0" fillId="0" borderId="0" xfId="0" applyNumberFormat="1" applyAlignment="1">
      <alignment vertical="top"/>
    </xf>
    <xf numFmtId="14" fontId="0" fillId="0" borderId="0" xfId="0" applyNumberFormat="1" applyAlignment="1">
      <alignment vertical="top"/>
    </xf>
    <xf numFmtId="0" fontId="0" fillId="0" borderId="0" xfId="0" applyAlignment="1">
      <alignment vertical="top"/>
    </xf>
    <xf numFmtId="49" fontId="0" fillId="0" borderId="0" xfId="0" applyNumberFormat="1" applyAlignment="1">
      <alignment horizontal="left"/>
    </xf>
    <xf numFmtId="14" fontId="0" fillId="0" borderId="0" xfId="0" applyNumberFormat="1" applyAlignment="1">
      <alignment horizontal="center"/>
    </xf>
    <xf numFmtId="49" fontId="0" fillId="0" borderId="0" xfId="0" applyNumberFormat="1" applyAlignment="1">
      <alignment horizontal="left" vertical="top"/>
    </xf>
    <xf numFmtId="14" fontId="0" fillId="0" borderId="0" xfId="0" applyNumberFormat="1" applyAlignment="1">
      <alignment horizontal="center" vertical="top"/>
    </xf>
    <xf numFmtId="0" fontId="0" fillId="0" borderId="0" xfId="0" applyAlignment="1">
      <alignment horizontal="center" vertical="top"/>
    </xf>
    <xf numFmtId="49" fontId="36" fillId="0" borderId="0" xfId="0" applyNumberFormat="1" applyFont="1" applyAlignment="1">
      <alignment horizontal="right"/>
    </xf>
    <xf numFmtId="49" fontId="38" fillId="0" borderId="0" xfId="0" applyNumberFormat="1" applyFont="1" applyAlignment="1">
      <alignment horizontal="center"/>
    </xf>
    <xf numFmtId="0" fontId="38" fillId="0" borderId="0" xfId="0" applyFont="1" applyAlignment="1">
      <alignment horizontal="center"/>
    </xf>
    <xf numFmtId="0" fontId="38" fillId="0" borderId="0" xfId="0" applyFont="1"/>
    <xf numFmtId="49" fontId="41" fillId="0" borderId="0" xfId="0" applyNumberFormat="1" applyFont="1"/>
    <xf numFmtId="49" fontId="0" fillId="5" borderId="0" xfId="0" applyNumberFormat="1" applyFill="1"/>
    <xf numFmtId="0" fontId="33"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left" wrapText="1"/>
    </xf>
    <xf numFmtId="0" fontId="32" fillId="0" borderId="0" xfId="0" applyFont="1" applyAlignment="1">
      <alignment horizontal="center" vertical="center"/>
    </xf>
    <xf numFmtId="0" fontId="29" fillId="0" borderId="0" xfId="0" applyFont="1" applyAlignment="1">
      <alignment horizontal="right" vertical="center"/>
    </xf>
    <xf numFmtId="0" fontId="30" fillId="0" borderId="0" xfId="0" applyFont="1" applyAlignment="1">
      <alignment horizontal="left" vertical="center"/>
    </xf>
    <xf numFmtId="0" fontId="35" fillId="0" borderId="0" xfId="0" applyFont="1" applyAlignment="1">
      <alignment horizontal="left" vertical="center" wrapText="1"/>
    </xf>
    <xf numFmtId="0" fontId="30" fillId="0" borderId="0" xfId="0" applyFont="1" applyAlignment="1">
      <alignment horizontal="center" vertical="center"/>
    </xf>
    <xf numFmtId="0" fontId="29" fillId="0" borderId="0" xfId="0" applyFont="1" applyAlignment="1">
      <alignment horizontal="right"/>
    </xf>
    <xf numFmtId="0" fontId="31" fillId="0" borderId="0" xfId="0" applyFont="1" applyAlignment="1">
      <alignment horizontal="right"/>
    </xf>
    <xf numFmtId="0" fontId="4" fillId="0" borderId="1" xfId="3" applyFont="1" applyBorder="1" applyAlignment="1">
      <alignment horizontal="center" wrapText="1"/>
    </xf>
    <xf numFmtId="0" fontId="4" fillId="0" borderId="2" xfId="3" applyFont="1" applyBorder="1" applyAlignment="1">
      <alignment horizontal="center"/>
    </xf>
    <xf numFmtId="0" fontId="4" fillId="0" borderId="3" xfId="3" applyFont="1" applyBorder="1" applyAlignment="1">
      <alignment horizontal="center"/>
    </xf>
    <xf numFmtId="0" fontId="5" fillId="0" borderId="4" xfId="3" applyFont="1" applyBorder="1" applyAlignment="1">
      <alignment horizontal="center" wrapText="1"/>
    </xf>
    <xf numFmtId="0" fontId="5" fillId="0" borderId="5" xfId="3" applyFont="1" applyBorder="1" applyAlignment="1">
      <alignment horizontal="center" wrapText="1"/>
    </xf>
    <xf numFmtId="0" fontId="5" fillId="0" borderId="6" xfId="3" applyFont="1" applyBorder="1" applyAlignment="1">
      <alignment horizontal="center" wrapText="1"/>
    </xf>
    <xf numFmtId="0" fontId="9" fillId="4" borderId="16" xfId="4" applyFont="1" applyFill="1" applyBorder="1" applyAlignment="1">
      <alignment horizontal="center" vertical="center"/>
    </xf>
    <xf numFmtId="0" fontId="9" fillId="4" borderId="24" xfId="4" applyFont="1" applyFill="1" applyBorder="1" applyAlignment="1">
      <alignment horizontal="center" vertical="center"/>
    </xf>
    <xf numFmtId="1" fontId="10" fillId="4" borderId="17" xfId="3" applyNumberFormat="1" applyFont="1" applyFill="1" applyBorder="1" applyAlignment="1">
      <alignment horizontal="center" vertical="center"/>
    </xf>
    <xf numFmtId="1" fontId="10" fillId="4" borderId="8" xfId="3" applyNumberFormat="1" applyFont="1" applyFill="1" applyBorder="1" applyAlignment="1">
      <alignment horizontal="center" vertical="center"/>
    </xf>
    <xf numFmtId="1" fontId="10" fillId="4" borderId="18" xfId="3" applyNumberFormat="1" applyFont="1" applyFill="1" applyBorder="1" applyAlignment="1">
      <alignment horizontal="center" vertical="center"/>
    </xf>
    <xf numFmtId="1" fontId="10" fillId="4" borderId="9" xfId="3" applyNumberFormat="1" applyFont="1" applyFill="1" applyBorder="1" applyAlignment="1">
      <alignment horizontal="center" vertical="center"/>
    </xf>
    <xf numFmtId="0" fontId="9" fillId="5" borderId="26" xfId="4" applyFont="1" applyFill="1" applyBorder="1" applyAlignment="1">
      <alignment horizontal="center" vertical="center"/>
    </xf>
    <xf numFmtId="0" fontId="9" fillId="5" borderId="12" xfId="4" applyFont="1" applyFill="1" applyBorder="1" applyAlignment="1">
      <alignment horizontal="center" vertical="center"/>
    </xf>
    <xf numFmtId="1" fontId="10" fillId="5" borderId="27" xfId="3" applyNumberFormat="1" applyFont="1" applyFill="1" applyBorder="1" applyAlignment="1">
      <alignment horizontal="center" vertical="center"/>
    </xf>
    <xf numFmtId="1" fontId="10" fillId="5" borderId="8" xfId="3" applyNumberFormat="1" applyFont="1" applyFill="1" applyBorder="1" applyAlignment="1">
      <alignment horizontal="center" vertical="center"/>
    </xf>
    <xf numFmtId="1" fontId="10" fillId="5" borderId="28" xfId="3" applyNumberFormat="1" applyFont="1" applyFill="1" applyBorder="1" applyAlignment="1">
      <alignment horizontal="center" vertical="center"/>
    </xf>
    <xf numFmtId="1" fontId="10" fillId="5" borderId="9" xfId="3" applyNumberFormat="1" applyFont="1" applyFill="1" applyBorder="1" applyAlignment="1">
      <alignment horizontal="center" vertical="center"/>
    </xf>
  </cellXfs>
  <cellStyles count="5">
    <cellStyle name="Normal 10" xfId="1" xr:uid="{00000000-0005-0000-0000-000000000000}"/>
    <cellStyle name="Normal 2" xfId="3" xr:uid="{00000000-0005-0000-0000-000001000000}"/>
    <cellStyle name="Normal 4 3" xfId="4" xr:uid="{00000000-0005-0000-0000-000002000000}"/>
    <cellStyle name="一般" xfId="0" builtinId="0"/>
    <cellStyle name="常规 3" xfId="2" xr:uid="{00000000-0005-0000-0000-000004000000}"/>
  </cellStyles>
  <dxfs count="60">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
      <fill>
        <patternFill>
          <bgColor rgb="FFDCDCDC"/>
        </patternFill>
      </fill>
    </dxf>
    <dxf>
      <fill>
        <patternFill>
          <bgColor rgb="FFFFFF00"/>
        </patternFill>
      </fill>
    </dxf>
    <dxf>
      <fill>
        <patternFill>
          <bgColor rgb="FFFFFFFF"/>
        </patternFill>
      </fill>
    </dxf>
    <dxf>
      <fill>
        <patternFill>
          <bgColor rgb="FFFF0000"/>
        </patternFill>
      </fill>
    </dxf>
    <dxf>
      <fill>
        <patternFill>
          <bgColor rgb="FF00FF00"/>
        </patternFill>
      </fill>
    </dxf>
  </dxfs>
  <tableStyles count="0" defaultTableStyle="TableStyleMedium9" defaultPivotStyle="PivotStyleLight16"/>
  <colors>
    <mruColors>
      <color rgb="FFCCFFCC"/>
      <color rgb="FFCCFFFF"/>
      <color rgb="FF99FFCC"/>
      <color rgb="FF66FFCC"/>
      <color rgb="FF00FF99"/>
      <color rgb="FF00CC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6" Type="http://schemas.openxmlformats.org/officeDocument/2006/relationships/image" Target="../media/image3.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190500</xdr:colOff>
          <xdr:row>16</xdr:row>
          <xdr:rowOff>171450</xdr:rowOff>
        </xdr:from>
        <xdr:to>
          <xdr:col>15</xdr:col>
          <xdr:colOff>101600</xdr:colOff>
          <xdr:row>18</xdr:row>
          <xdr:rowOff>158750</xdr:rowOff>
        </xdr:to>
        <xdr:sp macro="" textlink="">
          <xdr:nvSpPr>
            <xdr:cNvPr id="4098" name="CCreate"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20</xdr:row>
          <xdr:rowOff>19050</xdr:rowOff>
        </xdr:from>
        <xdr:to>
          <xdr:col>9</xdr:col>
          <xdr:colOff>146050</xdr:colOff>
          <xdr:row>21</xdr:row>
          <xdr:rowOff>171450</xdr:rowOff>
        </xdr:to>
        <xdr:sp macro="" textlink="">
          <xdr:nvSpPr>
            <xdr:cNvPr id="4099" name="NotebookBu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20</xdr:row>
          <xdr:rowOff>31750</xdr:rowOff>
        </xdr:from>
        <xdr:to>
          <xdr:col>11</xdr:col>
          <xdr:colOff>19050</xdr:colOff>
          <xdr:row>21</xdr:row>
          <xdr:rowOff>146050</xdr:rowOff>
        </xdr:to>
        <xdr:sp macro="" textlink="">
          <xdr:nvSpPr>
            <xdr:cNvPr id="4101" name="DesktopBut"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21</xdr:row>
          <xdr:rowOff>165100</xdr:rowOff>
        </xdr:from>
        <xdr:to>
          <xdr:col>8</xdr:col>
          <xdr:colOff>527050</xdr:colOff>
          <xdr:row>23</xdr:row>
          <xdr:rowOff>139700</xdr:rowOff>
        </xdr:to>
        <xdr:sp macro="" textlink="">
          <xdr:nvSpPr>
            <xdr:cNvPr id="4102" name="FunctionalBut"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22</xdr:row>
          <xdr:rowOff>19050</xdr:rowOff>
        </xdr:from>
        <xdr:to>
          <xdr:col>10</xdr:col>
          <xdr:colOff>361950</xdr:colOff>
          <xdr:row>23</xdr:row>
          <xdr:rowOff>107950</xdr:rowOff>
        </xdr:to>
        <xdr:sp macro="" textlink="">
          <xdr:nvSpPr>
            <xdr:cNvPr id="4103" name="IntegrationBu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184150</xdr:colOff>
          <xdr:row>19</xdr:row>
          <xdr:rowOff>107950</xdr:rowOff>
        </xdr:from>
        <xdr:to>
          <xdr:col>15</xdr:col>
          <xdr:colOff>107950</xdr:colOff>
          <xdr:row>21</xdr:row>
          <xdr:rowOff>76200</xdr:rowOff>
        </xdr:to>
        <xdr:sp macro="" textlink="">
          <xdr:nvSpPr>
            <xdr:cNvPr id="4104" name="Recovery"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18</xdr:row>
          <xdr:rowOff>57150</xdr:rowOff>
        </xdr:from>
        <xdr:to>
          <xdr:col>11</xdr:col>
          <xdr:colOff>76200</xdr:colOff>
          <xdr:row>19</xdr:row>
          <xdr:rowOff>120650</xdr:rowOff>
        </xdr:to>
        <xdr:sp macro="" textlink="">
          <xdr:nvSpPr>
            <xdr:cNvPr id="4105" name="FileName"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165100</xdr:colOff>
          <xdr:row>22</xdr:row>
          <xdr:rowOff>69850</xdr:rowOff>
        </xdr:from>
        <xdr:to>
          <xdr:col>15</xdr:col>
          <xdr:colOff>114300</xdr:colOff>
          <xdr:row>24</xdr:row>
          <xdr:rowOff>50800</xdr:rowOff>
        </xdr:to>
        <xdr:sp macro="" textlink="">
          <xdr:nvSpPr>
            <xdr:cNvPr id="4106" name="CreateSummary"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22</xdr:row>
          <xdr:rowOff>19050</xdr:rowOff>
        </xdr:from>
        <xdr:to>
          <xdr:col>12</xdr:col>
          <xdr:colOff>44450</xdr:colOff>
          <xdr:row>23</xdr:row>
          <xdr:rowOff>95250</xdr:rowOff>
        </xdr:to>
        <xdr:sp macro="" textlink="">
          <xdr:nvSpPr>
            <xdr:cNvPr id="4108" name="DBCheckListBu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val-host\EVAL-HOST\Documents%20and%20Settings\DALEMILLER\Local%20Settings\Temporary%20Internet%20Files\OLK45\Backup\DT_Sample_Ful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REVISIONS"/>
      <sheetName val="Test Summary"/>
      <sheetName val="PCB CFG"/>
      <sheetName val="PCB Details"/>
      <sheetName val="133 Mhz FACTS"/>
      <sheetName val="MG"/>
      <sheetName val="SERVER STRESS"/>
      <sheetName val="IDE &amp; SCSI"/>
      <sheetName val="GMCH GRAPHICS"/>
      <sheetName val="AGP GRAPHICS"/>
      <sheetName val="ADD_Multi-Monitor"/>
      <sheetName val="MEMORY"/>
      <sheetName val="OS INSTALL-HCT"/>
      <sheetName val="PERIPHERAL"/>
      <sheetName val="ACPI-WOL"/>
      <sheetName val="WOL"/>
      <sheetName val="LED-SECURITY"/>
      <sheetName val="3rd PARTY CARDS"/>
      <sheetName val="THERMAL"/>
      <sheetName val="Configuration"/>
      <sheetName val="Issue list "/>
      <sheetName val="Summary"/>
      <sheetName val="Health Chart"/>
      <sheetName val="ODM reports_DT"/>
      <sheetName val="數據有效性"/>
      <sheetName val="配置罗列"/>
      <sheetName val="HW Matrix"/>
      <sheetName val="Product Data Entry"/>
      <sheetName val="DT_Sample_Full"/>
      <sheetName val="liste"/>
      <sheetName val="Graph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8" Type="http://schemas.openxmlformats.org/officeDocument/2006/relationships/control" Target="../activeX/activeX8.xml"/><Relationship Id="rId13" Type="http://schemas.openxmlformats.org/officeDocument/2006/relationships/image" Target="../media/image5.emf"/><Relationship Id="rId8" Type="http://schemas.openxmlformats.org/officeDocument/2006/relationships/control" Target="../activeX/activeX3.xml"/><Relationship Id="rId3" Type="http://schemas.openxmlformats.org/officeDocument/2006/relationships/vmlDrawing" Target="../drawings/vmlDrawing1.vml"/><Relationship Id="rId21" Type="http://schemas.openxmlformats.org/officeDocument/2006/relationships/image" Target="../media/image9.emf"/><Relationship Id="rId17" Type="http://schemas.openxmlformats.org/officeDocument/2006/relationships/image" Target="../media/image7.emf"/><Relationship Id="rId12" Type="http://schemas.openxmlformats.org/officeDocument/2006/relationships/control" Target="../activeX/activeX5.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11" Type="http://schemas.openxmlformats.org/officeDocument/2006/relationships/image" Target="../media/image4.emf"/><Relationship Id="rId6" Type="http://schemas.openxmlformats.org/officeDocument/2006/relationships/control" Target="../activeX/activeX2.xml"/><Relationship Id="rId15" Type="http://schemas.openxmlformats.org/officeDocument/2006/relationships/image" Target="../media/image6.emf"/><Relationship Id="rId5" Type="http://schemas.openxmlformats.org/officeDocument/2006/relationships/image" Target="../media/image1.emf"/><Relationship Id="rId19" Type="http://schemas.openxmlformats.org/officeDocument/2006/relationships/image" Target="../media/image8.emf"/><Relationship Id="rId10" Type="http://schemas.openxmlformats.org/officeDocument/2006/relationships/control" Target="../activeX/activeX4.xml"/><Relationship Id="rId14" Type="http://schemas.openxmlformats.org/officeDocument/2006/relationships/control" Target="../activeX/activeX6.xml"/><Relationship Id="rId9"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9"/>
  <dimension ref="A1:I46"/>
  <sheetViews>
    <sheetView workbookViewId="0">
      <selection activeCell="N8" sqref="N8"/>
    </sheetView>
  </sheetViews>
  <sheetFormatPr defaultRowHeight="14.45"/>
  <cols>
    <col min="1" max="1" width="8.85546875" style="54"/>
    <col min="2" max="2" width="10.42578125" bestFit="1" customWidth="1"/>
  </cols>
  <sheetData>
    <row r="1" spans="1:9" ht="27.6">
      <c r="A1" s="73" t="s">
        <v>0</v>
      </c>
      <c r="B1" s="73"/>
      <c r="C1" s="73"/>
      <c r="D1" s="73"/>
      <c r="E1" s="73"/>
      <c r="F1" s="73"/>
      <c r="G1" s="73"/>
      <c r="H1" s="73"/>
      <c r="I1" s="73"/>
    </row>
    <row r="2" spans="1:9">
      <c r="A2" s="57" t="s">
        <v>1</v>
      </c>
      <c r="B2" s="55" t="s">
        <v>2</v>
      </c>
      <c r="C2" s="55" t="s">
        <v>3</v>
      </c>
      <c r="D2" s="74" t="s">
        <v>4</v>
      </c>
      <c r="E2" s="74"/>
      <c r="F2" s="74"/>
      <c r="G2" s="74"/>
      <c r="H2" s="74"/>
      <c r="I2" s="74"/>
    </row>
    <row r="3" spans="1:9">
      <c r="A3" s="62" t="s">
        <v>5</v>
      </c>
      <c r="B3" s="63">
        <v>45107</v>
      </c>
      <c r="C3" s="55" t="s">
        <v>6</v>
      </c>
      <c r="D3" s="75" t="s">
        <v>7</v>
      </c>
      <c r="E3" s="75"/>
      <c r="F3" s="75"/>
      <c r="G3" s="75"/>
      <c r="H3" s="75"/>
      <c r="I3" s="75"/>
    </row>
    <row r="4" spans="1:9">
      <c r="A4" s="62" t="s">
        <v>8</v>
      </c>
      <c r="B4" s="63">
        <v>44778</v>
      </c>
      <c r="C4" s="55" t="s">
        <v>6</v>
      </c>
      <c r="D4" s="75" t="s">
        <v>9</v>
      </c>
      <c r="E4" s="75"/>
      <c r="F4" s="75"/>
      <c r="G4" s="75"/>
      <c r="H4" s="75"/>
      <c r="I4" s="75"/>
    </row>
    <row r="5" spans="1:9">
      <c r="A5" s="62" t="s">
        <v>10</v>
      </c>
      <c r="B5" s="63">
        <v>44461</v>
      </c>
      <c r="C5" s="55" t="s">
        <v>6</v>
      </c>
      <c r="D5" s="75" t="s">
        <v>11</v>
      </c>
      <c r="E5" s="75"/>
      <c r="F5" s="75"/>
      <c r="G5" s="75"/>
      <c r="H5" s="75"/>
      <c r="I5" s="75"/>
    </row>
    <row r="6" spans="1:9">
      <c r="A6" s="62" t="s">
        <v>12</v>
      </c>
      <c r="B6" s="63">
        <v>44137</v>
      </c>
      <c r="C6" s="55" t="s">
        <v>6</v>
      </c>
      <c r="D6" s="75" t="s">
        <v>13</v>
      </c>
      <c r="E6" s="75"/>
      <c r="F6" s="75"/>
      <c r="G6" s="75"/>
      <c r="H6" s="75"/>
      <c r="I6" s="75"/>
    </row>
    <row r="7" spans="1:9">
      <c r="A7" s="62" t="s">
        <v>14</v>
      </c>
      <c r="B7" s="63">
        <v>44125</v>
      </c>
      <c r="C7" s="55" t="s">
        <v>6</v>
      </c>
      <c r="D7" s="75" t="s">
        <v>15</v>
      </c>
      <c r="E7" s="75"/>
      <c r="F7" s="75"/>
      <c r="G7" s="75"/>
      <c r="H7" s="75"/>
      <c r="I7" s="75"/>
    </row>
    <row r="8" spans="1:9">
      <c r="A8" s="62" t="s">
        <v>16</v>
      </c>
      <c r="B8" s="63">
        <v>44120</v>
      </c>
      <c r="C8" s="55" t="s">
        <v>6</v>
      </c>
      <c r="D8" s="75" t="s">
        <v>17</v>
      </c>
      <c r="E8" s="75"/>
      <c r="F8" s="75"/>
      <c r="G8" s="75"/>
      <c r="H8" s="75"/>
      <c r="I8" s="75"/>
    </row>
    <row r="9" spans="1:9" ht="27" customHeight="1">
      <c r="A9" s="64" t="s">
        <v>18</v>
      </c>
      <c r="B9" s="65">
        <v>43920</v>
      </c>
      <c r="C9" s="66" t="s">
        <v>6</v>
      </c>
      <c r="D9" s="76" t="s">
        <v>19</v>
      </c>
      <c r="E9" s="75"/>
      <c r="F9" s="75"/>
      <c r="G9" s="75"/>
      <c r="H9" s="75"/>
      <c r="I9" s="75"/>
    </row>
    <row r="10" spans="1:9">
      <c r="A10" s="62" t="s">
        <v>20</v>
      </c>
      <c r="B10" s="63">
        <v>43906</v>
      </c>
      <c r="C10" s="55" t="s">
        <v>6</v>
      </c>
      <c r="D10" s="75" t="s">
        <v>21</v>
      </c>
      <c r="E10" s="75"/>
      <c r="F10" s="75"/>
      <c r="G10" s="75"/>
      <c r="H10" s="75"/>
      <c r="I10" s="75"/>
    </row>
    <row r="11" spans="1:9">
      <c r="A11" s="62" t="s">
        <v>22</v>
      </c>
      <c r="B11" s="63">
        <v>43888</v>
      </c>
      <c r="C11" s="55" t="s">
        <v>6</v>
      </c>
      <c r="D11" s="75" t="s">
        <v>23</v>
      </c>
      <c r="E11" s="75"/>
      <c r="F11" s="75"/>
      <c r="G11" s="75"/>
      <c r="H11" s="75"/>
      <c r="I11" s="75"/>
    </row>
    <row r="12" spans="1:9">
      <c r="A12" s="62" t="s">
        <v>24</v>
      </c>
      <c r="B12" s="63">
        <v>43864</v>
      </c>
      <c r="C12" s="55" t="s">
        <v>6</v>
      </c>
      <c r="D12" s="75" t="s">
        <v>25</v>
      </c>
      <c r="E12" s="75"/>
      <c r="F12" s="75"/>
      <c r="G12" s="75"/>
      <c r="H12" s="75"/>
      <c r="I12" s="75"/>
    </row>
    <row r="13" spans="1:9" ht="31.9" customHeight="1">
      <c r="A13" s="59" t="s">
        <v>26</v>
      </c>
      <c r="B13" s="60">
        <v>43811</v>
      </c>
      <c r="C13" s="61" t="s">
        <v>6</v>
      </c>
      <c r="D13" s="76" t="s">
        <v>27</v>
      </c>
      <c r="E13" s="75"/>
      <c r="F13" s="75"/>
      <c r="G13" s="75"/>
      <c r="H13" s="75"/>
      <c r="I13" s="75"/>
    </row>
    <row r="14" spans="1:9">
      <c r="A14" s="59" t="s">
        <v>28</v>
      </c>
      <c r="B14" s="60">
        <v>43811</v>
      </c>
      <c r="C14" s="61" t="s">
        <v>6</v>
      </c>
      <c r="D14" s="75" t="s">
        <v>29</v>
      </c>
      <c r="E14" s="75"/>
      <c r="F14" s="75"/>
      <c r="G14" s="75"/>
      <c r="H14" s="75"/>
      <c r="I14" s="75"/>
    </row>
    <row r="15" spans="1:9">
      <c r="A15" s="59"/>
      <c r="B15" s="61"/>
      <c r="C15" s="61"/>
    </row>
    <row r="16" spans="1:9">
      <c r="A16" s="59"/>
      <c r="B16" s="61"/>
      <c r="C16" s="61"/>
    </row>
    <row r="17" spans="1:3">
      <c r="A17" s="59"/>
      <c r="B17" s="61"/>
      <c r="C17" s="61"/>
    </row>
    <row r="18" spans="1:3">
      <c r="A18" s="59"/>
      <c r="B18" s="61"/>
      <c r="C18" s="61"/>
    </row>
    <row r="19" spans="1:3">
      <c r="A19" s="59"/>
      <c r="B19" s="61"/>
      <c r="C19" s="61"/>
    </row>
    <row r="20" spans="1:3">
      <c r="A20" s="59"/>
      <c r="B20" s="61"/>
      <c r="C20" s="61"/>
    </row>
    <row r="21" spans="1:3">
      <c r="A21" s="59"/>
      <c r="B21" s="61"/>
      <c r="C21" s="61"/>
    </row>
    <row r="22" spans="1:3">
      <c r="A22" s="59"/>
      <c r="B22" s="61"/>
      <c r="C22" s="61"/>
    </row>
    <row r="23" spans="1:3">
      <c r="A23" s="59"/>
      <c r="B23" s="61"/>
      <c r="C23" s="61"/>
    </row>
    <row r="24" spans="1:3">
      <c r="A24" s="59"/>
      <c r="B24" s="61"/>
      <c r="C24" s="61"/>
    </row>
    <row r="25" spans="1:3">
      <c r="A25" s="59"/>
      <c r="B25" s="61"/>
      <c r="C25" s="61"/>
    </row>
    <row r="26" spans="1:3">
      <c r="A26" s="59"/>
      <c r="B26" s="61"/>
      <c r="C26" s="61"/>
    </row>
    <row r="27" spans="1:3">
      <c r="A27" s="59"/>
      <c r="B27" s="61"/>
      <c r="C27" s="61"/>
    </row>
    <row r="28" spans="1:3">
      <c r="A28" s="59"/>
      <c r="B28" s="61"/>
      <c r="C28" s="61"/>
    </row>
    <row r="29" spans="1:3">
      <c r="A29" s="59"/>
      <c r="B29" s="61"/>
      <c r="C29" s="61"/>
    </row>
    <row r="30" spans="1:3">
      <c r="A30" s="59"/>
      <c r="B30" s="61"/>
      <c r="C30" s="61"/>
    </row>
    <row r="31" spans="1:3">
      <c r="A31" s="59"/>
      <c r="B31" s="61"/>
      <c r="C31" s="61"/>
    </row>
    <row r="32" spans="1:3">
      <c r="A32" s="59"/>
      <c r="B32" s="61"/>
      <c r="C32" s="61"/>
    </row>
    <row r="33" spans="1:3">
      <c r="A33" s="59"/>
      <c r="B33" s="61"/>
      <c r="C33" s="61"/>
    </row>
    <row r="34" spans="1:3">
      <c r="A34" s="59"/>
      <c r="B34" s="61"/>
      <c r="C34" s="61"/>
    </row>
    <row r="35" spans="1:3">
      <c r="A35" s="59"/>
      <c r="B35" s="61"/>
      <c r="C35" s="61"/>
    </row>
    <row r="36" spans="1:3">
      <c r="A36" s="59"/>
      <c r="B36" s="61"/>
      <c r="C36" s="61"/>
    </row>
    <row r="37" spans="1:3">
      <c r="A37" s="59"/>
      <c r="B37" s="61"/>
      <c r="C37" s="61"/>
    </row>
    <row r="38" spans="1:3">
      <c r="A38" s="59"/>
      <c r="B38" s="61"/>
      <c r="C38" s="61"/>
    </row>
    <row r="39" spans="1:3">
      <c r="A39" s="59"/>
      <c r="B39" s="61"/>
      <c r="C39" s="61"/>
    </row>
    <row r="40" spans="1:3">
      <c r="A40" s="59"/>
      <c r="B40" s="61"/>
      <c r="C40" s="61"/>
    </row>
    <row r="41" spans="1:3">
      <c r="A41" s="59"/>
      <c r="B41" s="61"/>
      <c r="C41" s="61"/>
    </row>
    <row r="42" spans="1:3">
      <c r="A42" s="59"/>
      <c r="B42" s="61"/>
      <c r="C42" s="61"/>
    </row>
    <row r="43" spans="1:3">
      <c r="A43" s="59"/>
      <c r="B43" s="61"/>
      <c r="C43" s="61"/>
    </row>
    <row r="44" spans="1:3">
      <c r="A44" s="59"/>
      <c r="B44" s="61"/>
      <c r="C44" s="61"/>
    </row>
    <row r="45" spans="1:3">
      <c r="A45" s="59"/>
      <c r="B45" s="61"/>
      <c r="C45" s="61"/>
    </row>
    <row r="46" spans="1:3">
      <c r="A46" s="59"/>
      <c r="B46" s="61"/>
      <c r="C46" s="61"/>
    </row>
  </sheetData>
  <mergeCells count="14">
    <mergeCell ref="A1:I1"/>
    <mergeCell ref="D2:I2"/>
    <mergeCell ref="D14:I14"/>
    <mergeCell ref="D13:I13"/>
    <mergeCell ref="D12:I12"/>
    <mergeCell ref="D11:I11"/>
    <mergeCell ref="D10:I10"/>
    <mergeCell ref="D9:I9"/>
    <mergeCell ref="D8:I8"/>
    <mergeCell ref="D7:I7"/>
    <mergeCell ref="D6:I6"/>
    <mergeCell ref="D5:I5"/>
    <mergeCell ref="D4:I4"/>
    <mergeCell ref="D3:I3"/>
  </mergeCells>
  <phoneticPr fontId="37"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27"/>
  <sheetViews>
    <sheetView topLeftCell="A7" workbookViewId="0">
      <selection activeCell="M20" sqref="M20"/>
    </sheetView>
  </sheetViews>
  <sheetFormatPr defaultRowHeight="14.45"/>
  <cols>
    <col min="1" max="1" width="8.85546875" customWidth="1"/>
    <col min="3" max="3" width="8.28515625" customWidth="1"/>
    <col min="4" max="4" width="10.42578125" customWidth="1"/>
    <col min="10" max="10" width="9.42578125" customWidth="1"/>
    <col min="19" max="19" width="25.140625" customWidth="1"/>
  </cols>
  <sheetData>
    <row r="1" spans="1:19" ht="14.45" customHeight="1">
      <c r="A1" s="77" t="s">
        <v>30</v>
      </c>
      <c r="B1" s="77"/>
      <c r="C1" s="77"/>
      <c r="D1" s="77"/>
      <c r="E1" s="77"/>
      <c r="F1" s="77"/>
      <c r="G1" s="77"/>
      <c r="H1" s="77"/>
      <c r="I1" s="77"/>
      <c r="J1" s="77"/>
      <c r="K1" s="77"/>
      <c r="L1" s="77"/>
      <c r="M1" s="77"/>
      <c r="N1" s="77"/>
      <c r="O1" s="77"/>
      <c r="P1" s="77"/>
      <c r="Q1" s="77"/>
      <c r="R1" s="77"/>
      <c r="S1" s="77"/>
    </row>
    <row r="2" spans="1:19" ht="14.45" customHeight="1">
      <c r="A2" s="77"/>
      <c r="B2" s="77"/>
      <c r="C2" s="77"/>
      <c r="D2" s="77"/>
      <c r="E2" s="77"/>
      <c r="F2" s="77"/>
      <c r="G2" s="77"/>
      <c r="H2" s="77"/>
      <c r="I2" s="77"/>
      <c r="J2" s="77"/>
      <c r="K2" s="77"/>
      <c r="L2" s="77"/>
      <c r="M2" s="77"/>
      <c r="N2" s="77"/>
      <c r="O2" s="77"/>
      <c r="P2" s="77"/>
      <c r="Q2" s="77"/>
      <c r="R2" s="77"/>
      <c r="S2" s="77"/>
    </row>
    <row r="3" spans="1:19" ht="14.45" customHeight="1">
      <c r="A3" s="77"/>
      <c r="B3" s="77"/>
      <c r="C3" s="77"/>
      <c r="D3" s="77"/>
      <c r="E3" s="77"/>
      <c r="F3" s="77"/>
      <c r="G3" s="77"/>
      <c r="H3" s="77"/>
      <c r="I3" s="77"/>
      <c r="J3" s="77"/>
      <c r="K3" s="77"/>
      <c r="L3" s="77"/>
      <c r="M3" s="77"/>
      <c r="N3" s="77"/>
      <c r="O3" s="77"/>
      <c r="P3" s="77"/>
      <c r="Q3" s="77"/>
      <c r="R3" s="77"/>
      <c r="S3" s="77"/>
    </row>
    <row r="4" spans="1:19" ht="14.45" customHeight="1">
      <c r="A4" s="77" t="s">
        <v>31</v>
      </c>
      <c r="B4" s="77"/>
      <c r="C4" s="77"/>
      <c r="D4" s="77"/>
      <c r="E4" s="77"/>
      <c r="F4" s="77"/>
      <c r="G4" s="77"/>
      <c r="H4" s="77"/>
      <c r="I4" s="77"/>
      <c r="J4" s="77"/>
      <c r="K4" s="77"/>
      <c r="L4" s="77"/>
      <c r="M4" s="77"/>
      <c r="N4" s="77"/>
      <c r="O4" s="77"/>
      <c r="P4" s="77"/>
      <c r="Q4" s="77"/>
      <c r="R4" s="77"/>
      <c r="S4" s="77"/>
    </row>
    <row r="5" spans="1:19" ht="14.45" customHeight="1">
      <c r="A5" s="77"/>
      <c r="B5" s="77"/>
      <c r="C5" s="77"/>
      <c r="D5" s="77"/>
      <c r="E5" s="77"/>
      <c r="F5" s="77"/>
      <c r="G5" s="77"/>
      <c r="H5" s="77"/>
      <c r="I5" s="77"/>
      <c r="J5" s="77"/>
      <c r="K5" s="77"/>
      <c r="L5" s="77"/>
      <c r="M5" s="77"/>
      <c r="N5" s="77"/>
      <c r="O5" s="77"/>
      <c r="P5" s="77"/>
      <c r="Q5" s="77"/>
      <c r="R5" s="77"/>
      <c r="S5" s="77"/>
    </row>
    <row r="6" spans="1:19" ht="14.45" customHeight="1">
      <c r="A6" s="77"/>
      <c r="B6" s="77"/>
      <c r="C6" s="77"/>
      <c r="D6" s="77"/>
      <c r="E6" s="77"/>
      <c r="F6" s="77"/>
      <c r="G6" s="77"/>
      <c r="H6" s="77"/>
      <c r="I6" s="77"/>
      <c r="J6" s="77"/>
      <c r="K6" s="77"/>
      <c r="L6" s="77"/>
      <c r="M6" s="77"/>
      <c r="N6" s="77"/>
      <c r="O6" s="77"/>
      <c r="P6" s="77"/>
      <c r="Q6" s="77"/>
      <c r="R6" s="77"/>
      <c r="S6" s="77"/>
    </row>
    <row r="7" spans="1:19">
      <c r="A7" s="77"/>
      <c r="B7" s="77"/>
      <c r="C7" s="77"/>
      <c r="D7" s="77"/>
      <c r="E7" s="77"/>
      <c r="F7" s="77"/>
      <c r="G7" s="77"/>
      <c r="H7" s="77"/>
      <c r="I7" s="77"/>
      <c r="J7" s="77"/>
      <c r="K7" s="77"/>
      <c r="L7" s="77"/>
      <c r="M7" s="77"/>
      <c r="N7" s="77"/>
      <c r="O7" s="77"/>
      <c r="P7" s="77"/>
      <c r="Q7" s="77"/>
      <c r="R7" s="77"/>
      <c r="S7" s="77"/>
    </row>
    <row r="8" spans="1:19">
      <c r="O8" s="54" t="str">
        <f xml:space="preserve"> ChangeLog!A3</f>
        <v>V4.00</v>
      </c>
    </row>
    <row r="11" spans="1:19" ht="14.45" customHeight="1">
      <c r="A11" s="56"/>
      <c r="B11" s="56"/>
      <c r="C11" s="56"/>
      <c r="D11" s="78" t="s">
        <v>32</v>
      </c>
      <c r="E11" s="78"/>
      <c r="F11" s="78"/>
      <c r="G11" s="78"/>
      <c r="H11" s="79" t="s">
        <v>33</v>
      </c>
      <c r="I11" s="79"/>
      <c r="J11" s="79"/>
      <c r="Q11" s="80" t="s">
        <v>34</v>
      </c>
      <c r="R11" s="80"/>
      <c r="S11" s="80"/>
    </row>
    <row r="12" spans="1:19" ht="14.45" customHeight="1">
      <c r="A12" s="56"/>
      <c r="B12" s="56"/>
      <c r="C12" s="56"/>
      <c r="D12" s="78"/>
      <c r="E12" s="78"/>
      <c r="F12" s="78"/>
      <c r="G12" s="78"/>
      <c r="H12" s="79"/>
      <c r="I12" s="79"/>
      <c r="J12" s="79"/>
      <c r="Q12" s="80"/>
      <c r="R12" s="80"/>
      <c r="S12" s="80"/>
    </row>
    <row r="13" spans="1:19" ht="14.45" customHeight="1">
      <c r="D13" s="78" t="s">
        <v>35</v>
      </c>
      <c r="E13" s="78"/>
      <c r="F13" s="78"/>
      <c r="G13" s="78"/>
      <c r="H13" s="79" t="s">
        <v>36</v>
      </c>
      <c r="I13" s="79"/>
      <c r="J13" s="79"/>
      <c r="Q13" s="80"/>
      <c r="R13" s="80"/>
      <c r="S13" s="80"/>
    </row>
    <row r="14" spans="1:19" ht="14.45" customHeight="1">
      <c r="A14" s="56"/>
      <c r="B14" s="56"/>
      <c r="C14" s="56"/>
      <c r="D14" s="78"/>
      <c r="E14" s="78"/>
      <c r="F14" s="78"/>
      <c r="G14" s="78"/>
      <c r="H14" s="79"/>
      <c r="I14" s="79"/>
      <c r="J14" s="79"/>
      <c r="Q14" s="80"/>
      <c r="R14" s="80"/>
      <c r="S14" s="80"/>
    </row>
    <row r="15" spans="1:19" ht="14.45" customHeight="1">
      <c r="A15" s="56"/>
      <c r="B15" s="56"/>
      <c r="C15" s="56"/>
      <c r="D15" s="78" t="s">
        <v>37</v>
      </c>
      <c r="E15" s="78"/>
      <c r="F15" s="78"/>
      <c r="G15" s="78"/>
      <c r="H15" s="81" t="s">
        <v>38</v>
      </c>
      <c r="I15" s="81"/>
      <c r="J15" s="81"/>
      <c r="K15" s="81"/>
      <c r="L15" s="81"/>
      <c r="M15" s="81"/>
      <c r="Q15" s="80"/>
      <c r="R15" s="80"/>
      <c r="S15" s="80"/>
    </row>
    <row r="16" spans="1:19" ht="14.45" customHeight="1">
      <c r="D16" s="78"/>
      <c r="E16" s="78"/>
      <c r="F16" s="78"/>
      <c r="G16" s="78"/>
      <c r="H16" s="81"/>
      <c r="I16" s="81"/>
      <c r="J16" s="81"/>
      <c r="K16" s="81"/>
      <c r="L16" s="81"/>
      <c r="M16" s="81"/>
      <c r="Q16" s="80"/>
      <c r="R16" s="80"/>
      <c r="S16" s="80"/>
    </row>
    <row r="17" spans="1:19" ht="14.45" customHeight="1">
      <c r="A17" s="56"/>
      <c r="B17" s="56"/>
      <c r="C17" s="56"/>
      <c r="D17" s="56"/>
      <c r="Q17" s="80"/>
      <c r="R17" s="80"/>
      <c r="S17" s="80"/>
    </row>
    <row r="18" spans="1:19" ht="14.45" customHeight="1">
      <c r="A18" s="56"/>
      <c r="B18" s="56"/>
      <c r="C18" s="56"/>
      <c r="D18" s="56"/>
      <c r="E18" s="83" t="s">
        <v>39</v>
      </c>
      <c r="F18" s="83"/>
      <c r="G18" s="83"/>
      <c r="Q18" s="80"/>
      <c r="R18" s="80"/>
      <c r="S18" s="80"/>
    </row>
    <row r="19" spans="1:19" ht="14.45" customHeight="1">
      <c r="D19" s="78" t="s">
        <v>40</v>
      </c>
      <c r="E19" s="78"/>
      <c r="F19" s="78"/>
      <c r="G19" s="78"/>
      <c r="H19" s="74"/>
      <c r="I19" s="74"/>
      <c r="J19" s="74"/>
      <c r="K19" s="74"/>
      <c r="L19" s="74"/>
      <c r="Q19" s="80"/>
      <c r="R19" s="80"/>
      <c r="S19" s="80"/>
    </row>
    <row r="20" spans="1:19" ht="14.45" customHeight="1">
      <c r="D20" s="78"/>
      <c r="E20" s="78"/>
      <c r="F20" s="78"/>
      <c r="G20" s="78"/>
      <c r="H20" s="74"/>
      <c r="I20" s="74"/>
      <c r="J20" s="74"/>
      <c r="K20" s="74"/>
      <c r="L20" s="74"/>
      <c r="Q20" s="80"/>
      <c r="R20" s="80"/>
      <c r="S20" s="80"/>
    </row>
    <row r="21" spans="1:19" ht="14.45" customHeight="1">
      <c r="D21" s="78" t="s">
        <v>41</v>
      </c>
      <c r="E21" s="78"/>
      <c r="F21" s="78"/>
      <c r="G21" s="78"/>
      <c r="H21" s="74"/>
      <c r="I21" s="74"/>
      <c r="J21" s="74"/>
      <c r="K21" s="74"/>
      <c r="L21" s="74"/>
      <c r="Q21" s="80"/>
      <c r="R21" s="80"/>
      <c r="S21" s="80"/>
    </row>
    <row r="22" spans="1:19" ht="14.45" customHeight="1">
      <c r="D22" s="78"/>
      <c r="E22" s="78"/>
      <c r="F22" s="78"/>
      <c r="G22" s="78"/>
      <c r="H22" s="74"/>
      <c r="I22" s="74"/>
      <c r="J22" s="74"/>
      <c r="K22" s="74"/>
      <c r="L22" s="74"/>
      <c r="Q22" s="80"/>
      <c r="R22" s="80"/>
      <c r="S22" s="80"/>
    </row>
    <row r="23" spans="1:19" ht="14.45" customHeight="1">
      <c r="D23" s="82" t="s">
        <v>42</v>
      </c>
      <c r="E23" s="82"/>
      <c r="F23" s="82"/>
      <c r="G23" s="82"/>
      <c r="H23" s="74"/>
      <c r="I23" s="74"/>
      <c r="J23" s="74"/>
      <c r="K23" s="74"/>
      <c r="L23" s="74"/>
      <c r="Q23" s="80"/>
      <c r="R23" s="80"/>
      <c r="S23" s="80"/>
    </row>
    <row r="24" spans="1:19" ht="14.45" customHeight="1">
      <c r="D24" s="82"/>
      <c r="E24" s="82"/>
      <c r="F24" s="82"/>
      <c r="G24" s="82"/>
      <c r="H24" s="74"/>
      <c r="I24" s="74"/>
      <c r="J24" s="74"/>
      <c r="K24" s="74"/>
      <c r="L24" s="74"/>
      <c r="Q24" s="80"/>
      <c r="R24" s="80"/>
      <c r="S24" s="80"/>
    </row>
    <row r="25" spans="1:19">
      <c r="Q25" s="80"/>
      <c r="R25" s="80"/>
      <c r="S25" s="80"/>
    </row>
    <row r="26" spans="1:19">
      <c r="Q26" s="80"/>
      <c r="R26" s="80"/>
      <c r="S26" s="80"/>
    </row>
    <row r="27" spans="1:19">
      <c r="Q27" s="80"/>
      <c r="R27" s="80"/>
      <c r="S27" s="80"/>
    </row>
  </sheetData>
  <mergeCells count="16">
    <mergeCell ref="A1:S3"/>
    <mergeCell ref="A4:S7"/>
    <mergeCell ref="D11:G12"/>
    <mergeCell ref="H11:J12"/>
    <mergeCell ref="D13:G14"/>
    <mergeCell ref="H13:J14"/>
    <mergeCell ref="Q11:S27"/>
    <mergeCell ref="H15:M16"/>
    <mergeCell ref="H19:L20"/>
    <mergeCell ref="H21:L22"/>
    <mergeCell ref="H23:L24"/>
    <mergeCell ref="D15:G16"/>
    <mergeCell ref="D19:G20"/>
    <mergeCell ref="D21:G22"/>
    <mergeCell ref="D23:G24"/>
    <mergeCell ref="E18:G18"/>
  </mergeCells>
  <phoneticPr fontId="37"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098" r:id="rId18" name="CCreate">
          <controlPr defaultSize="0" autoLine="0" r:id="rId19">
            <anchor moveWithCells="1">
              <from>
                <xdr:col>13</xdr:col>
                <xdr:colOff>190500</xdr:colOff>
                <xdr:row>16</xdr:row>
                <xdr:rowOff>171450</xdr:rowOff>
              </from>
              <to>
                <xdr:col>15</xdr:col>
                <xdr:colOff>101600</xdr:colOff>
                <xdr:row>18</xdr:row>
                <xdr:rowOff>158750</xdr:rowOff>
              </to>
            </anchor>
          </controlPr>
        </control>
      </mc:Choice>
      <mc:Fallback>
        <control shapeId="4098" r:id="rId18" name="CCreate"/>
      </mc:Fallback>
    </mc:AlternateContent>
    <mc:AlternateContent xmlns:mc="http://schemas.openxmlformats.org/markup-compatibility/2006">
      <mc:Choice Requires="x14">
        <control shapeId="4099" r:id="rId16" name="NotebookBut">
          <controlPr defaultSize="0" autoLine="0" r:id="rId17">
            <anchor moveWithCells="1">
              <from>
                <xdr:col>7</xdr:col>
                <xdr:colOff>152400</xdr:colOff>
                <xdr:row>20</xdr:row>
                <xdr:rowOff>19050</xdr:rowOff>
              </from>
              <to>
                <xdr:col>9</xdr:col>
                <xdr:colOff>146050</xdr:colOff>
                <xdr:row>21</xdr:row>
                <xdr:rowOff>171450</xdr:rowOff>
              </to>
            </anchor>
          </controlPr>
        </control>
      </mc:Choice>
      <mc:Fallback>
        <control shapeId="4099" r:id="rId16" name="NotebookBut"/>
      </mc:Fallback>
    </mc:AlternateContent>
    <mc:AlternateContent xmlns:mc="http://schemas.openxmlformats.org/markup-compatibility/2006">
      <mc:Choice Requires="x14">
        <control shapeId="4101" r:id="rId14" name="DesktopBut">
          <controlPr defaultSize="0" autoLine="0" r:id="rId15">
            <anchor moveWithCells="1">
              <from>
                <xdr:col>9</xdr:col>
                <xdr:colOff>76200</xdr:colOff>
                <xdr:row>20</xdr:row>
                <xdr:rowOff>31750</xdr:rowOff>
              </from>
              <to>
                <xdr:col>11</xdr:col>
                <xdr:colOff>19050</xdr:colOff>
                <xdr:row>21</xdr:row>
                <xdr:rowOff>146050</xdr:rowOff>
              </to>
            </anchor>
          </controlPr>
        </control>
      </mc:Choice>
      <mc:Fallback>
        <control shapeId="4101" r:id="rId14" name="DesktopBut"/>
      </mc:Fallback>
    </mc:AlternateContent>
    <mc:AlternateContent xmlns:mc="http://schemas.openxmlformats.org/markup-compatibility/2006">
      <mc:Choice Requires="x14">
        <control shapeId="4102" r:id="rId12" name="FunctionalBut">
          <controlPr defaultSize="0" autoLine="0" r:id="rId13">
            <anchor moveWithCells="1">
              <from>
                <xdr:col>7</xdr:col>
                <xdr:colOff>171450</xdr:colOff>
                <xdr:row>21</xdr:row>
                <xdr:rowOff>165100</xdr:rowOff>
              </from>
              <to>
                <xdr:col>8</xdr:col>
                <xdr:colOff>527050</xdr:colOff>
                <xdr:row>23</xdr:row>
                <xdr:rowOff>139700</xdr:rowOff>
              </to>
            </anchor>
          </controlPr>
        </control>
      </mc:Choice>
      <mc:Fallback>
        <control shapeId="4102" r:id="rId12" name="FunctionalBut"/>
      </mc:Fallback>
    </mc:AlternateContent>
    <mc:AlternateContent xmlns:mc="http://schemas.openxmlformats.org/markup-compatibility/2006">
      <mc:Choice Requires="x14">
        <control shapeId="4103" r:id="rId10" name="IntegrationBut">
          <controlPr defaultSize="0" autoLine="0" r:id="rId11">
            <anchor moveWithCells="1">
              <from>
                <xdr:col>8</xdr:col>
                <xdr:colOff>457200</xdr:colOff>
                <xdr:row>22</xdr:row>
                <xdr:rowOff>19050</xdr:rowOff>
              </from>
              <to>
                <xdr:col>10</xdr:col>
                <xdr:colOff>361950</xdr:colOff>
                <xdr:row>23</xdr:row>
                <xdr:rowOff>107950</xdr:rowOff>
              </to>
            </anchor>
          </controlPr>
        </control>
      </mc:Choice>
      <mc:Fallback>
        <control shapeId="4103" r:id="rId10" name="IntegrationBut"/>
      </mc:Fallback>
    </mc:AlternateContent>
    <mc:AlternateContent xmlns:mc="http://schemas.openxmlformats.org/markup-compatibility/2006">
      <mc:Choice Requires="x14">
        <control shapeId="4104" r:id="rId8" name="Recovery">
          <controlPr defaultSize="0" autoLine="0" r:id="rId9">
            <anchor moveWithCells="1">
              <from>
                <xdr:col>13</xdr:col>
                <xdr:colOff>184150</xdr:colOff>
                <xdr:row>19</xdr:row>
                <xdr:rowOff>107950</xdr:rowOff>
              </from>
              <to>
                <xdr:col>15</xdr:col>
                <xdr:colOff>107950</xdr:colOff>
                <xdr:row>21</xdr:row>
                <xdr:rowOff>76200</xdr:rowOff>
              </to>
            </anchor>
          </controlPr>
        </control>
      </mc:Choice>
      <mc:Fallback>
        <control shapeId="4104" r:id="rId8" name="Recovery"/>
      </mc:Fallback>
    </mc:AlternateContent>
    <mc:AlternateContent xmlns:mc="http://schemas.openxmlformats.org/markup-compatibility/2006">
      <mc:Choice Requires="x14">
        <control shapeId="4105" r:id="rId6" name="FileName">
          <controlPr defaultSize="0" autoLine="0" r:id="rId7">
            <anchor moveWithCells="1">
              <from>
                <xdr:col>7</xdr:col>
                <xdr:colOff>107950</xdr:colOff>
                <xdr:row>18</xdr:row>
                <xdr:rowOff>57150</xdr:rowOff>
              </from>
              <to>
                <xdr:col>11</xdr:col>
                <xdr:colOff>76200</xdr:colOff>
                <xdr:row>19</xdr:row>
                <xdr:rowOff>120650</xdr:rowOff>
              </to>
            </anchor>
          </controlPr>
        </control>
      </mc:Choice>
      <mc:Fallback>
        <control shapeId="4105" r:id="rId6" name="FileName"/>
      </mc:Fallback>
    </mc:AlternateContent>
    <mc:AlternateContent xmlns:mc="http://schemas.openxmlformats.org/markup-compatibility/2006">
      <mc:Choice Requires="x14">
        <control shapeId="4106" r:id="rId4" name="CreateSummary">
          <controlPr defaultSize="0" autoLine="0" r:id="rId5">
            <anchor moveWithCells="1">
              <from>
                <xdr:col>13</xdr:col>
                <xdr:colOff>165100</xdr:colOff>
                <xdr:row>22</xdr:row>
                <xdr:rowOff>69850</xdr:rowOff>
              </from>
              <to>
                <xdr:col>15</xdr:col>
                <xdr:colOff>114300</xdr:colOff>
                <xdr:row>24</xdr:row>
                <xdr:rowOff>50800</xdr:rowOff>
              </to>
            </anchor>
          </controlPr>
        </control>
      </mc:Choice>
      <mc:Fallback>
        <control shapeId="4106" r:id="rId4" name="CreateSummary"/>
      </mc:Fallback>
    </mc:AlternateContent>
    <mc:AlternateContent xmlns:mc="http://schemas.openxmlformats.org/markup-compatibility/2006">
      <mc:Choice Requires="x14">
        <control shapeId="4108" r:id="rId20" name="DBCheckListBut">
          <controlPr defaultSize="0" autoLine="0" r:id="rId21">
            <anchor moveWithCells="1">
              <from>
                <xdr:col>10</xdr:col>
                <xdr:colOff>171450</xdr:colOff>
                <xdr:row>22</xdr:row>
                <xdr:rowOff>19050</xdr:rowOff>
              </from>
              <to>
                <xdr:col>12</xdr:col>
                <xdr:colOff>44450</xdr:colOff>
                <xdr:row>23</xdr:row>
                <xdr:rowOff>95250</xdr:rowOff>
              </to>
            </anchor>
          </controlPr>
        </control>
      </mc:Choice>
      <mc:Fallback>
        <control shapeId="4108" r:id="rId20" name="DBCheckListBu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S10"/>
  <sheetViews>
    <sheetView tabSelected="1" workbookViewId="0">
      <selection activeCell="H14" sqref="H14"/>
    </sheetView>
  </sheetViews>
  <sheetFormatPr defaultRowHeight="14.45"/>
  <cols>
    <col min="1" max="1" width="15.28515625" bestFit="1" customWidth="1"/>
    <col min="4" max="4" width="8.28515625" bestFit="1" customWidth="1"/>
    <col min="5" max="5" width="8.7109375" bestFit="1" customWidth="1"/>
    <col min="6" max="6" width="6.85546875" bestFit="1" customWidth="1"/>
    <col min="9" max="9" width="7.28515625" bestFit="1" customWidth="1"/>
    <col min="10" max="10" width="8.28515625" bestFit="1" customWidth="1"/>
    <col min="11" max="11" width="1.85546875" bestFit="1" customWidth="1"/>
    <col min="12" max="12" width="7.28515625" bestFit="1" customWidth="1"/>
    <col min="13" max="13" width="9" bestFit="1" customWidth="1"/>
  </cols>
  <sheetData>
    <row r="1" spans="1:19" ht="25.5">
      <c r="A1" s="84" t="s">
        <v>43</v>
      </c>
      <c r="B1" s="85"/>
      <c r="C1" s="85"/>
      <c r="D1" s="85"/>
      <c r="E1" s="85"/>
      <c r="F1" s="85"/>
      <c r="G1" s="85"/>
      <c r="H1" s="85"/>
      <c r="I1" s="85"/>
      <c r="J1" s="85"/>
      <c r="K1" s="85"/>
      <c r="L1" s="85"/>
      <c r="M1" s="86"/>
    </row>
    <row r="2" spans="1:19" ht="26.1" thickBot="1">
      <c r="A2" s="87" t="s">
        <v>44</v>
      </c>
      <c r="B2" s="88"/>
      <c r="C2" s="88"/>
      <c r="D2" s="88"/>
      <c r="E2" s="88"/>
      <c r="F2" s="88"/>
      <c r="G2" s="88"/>
      <c r="H2" s="88"/>
      <c r="I2" s="88"/>
      <c r="J2" s="88"/>
      <c r="K2" s="88"/>
      <c r="L2" s="88"/>
      <c r="M2" s="89"/>
    </row>
    <row r="3" spans="1:19" ht="53.45" thickBot="1">
      <c r="A3" s="1" t="s">
        <v>45</v>
      </c>
      <c r="B3" s="2" t="s">
        <v>46</v>
      </c>
      <c r="C3" s="3" t="s">
        <v>47</v>
      </c>
      <c r="D3" s="4" t="s">
        <v>48</v>
      </c>
      <c r="E3" s="5" t="s">
        <v>49</v>
      </c>
      <c r="F3" s="3" t="s">
        <v>50</v>
      </c>
      <c r="G3" s="3" t="s">
        <v>51</v>
      </c>
      <c r="H3" s="6" t="s">
        <v>52</v>
      </c>
      <c r="I3" s="7" t="s">
        <v>53</v>
      </c>
      <c r="J3" s="8" t="s">
        <v>54</v>
      </c>
      <c r="K3" s="8"/>
      <c r="L3" s="9" t="s">
        <v>55</v>
      </c>
      <c r="M3" s="6" t="s">
        <v>56</v>
      </c>
    </row>
    <row r="4" spans="1:19" ht="15" thickBot="1">
      <c r="A4" s="10"/>
      <c r="B4" s="10"/>
      <c r="C4" s="10"/>
      <c r="D4" s="11"/>
      <c r="E4" s="10"/>
      <c r="F4" s="12"/>
      <c r="G4" s="13"/>
      <c r="H4" s="14"/>
      <c r="I4" s="15"/>
      <c r="J4" s="16"/>
      <c r="K4" s="16"/>
      <c r="L4" s="17"/>
      <c r="M4" s="10"/>
      <c r="S4" s="58" t="s">
        <v>57</v>
      </c>
    </row>
    <row r="5" spans="1:19">
      <c r="A5" s="90" t="s">
        <v>58</v>
      </c>
      <c r="B5" s="92">
        <f>SUM(B7:B13)</f>
        <v>391</v>
      </c>
      <c r="C5" s="94">
        <f>SUM(C7:C12)</f>
        <v>297</v>
      </c>
      <c r="D5" s="94">
        <f>SUM(D7:D12)</f>
        <v>0</v>
      </c>
      <c r="E5" s="18">
        <f>C5-D5</f>
        <v>297</v>
      </c>
      <c r="F5" s="19">
        <f>F7+F9+F11</f>
        <v>273</v>
      </c>
      <c r="G5" s="20">
        <f t="shared" ref="G5:M5" si="0">G7+G9+G11</f>
        <v>24</v>
      </c>
      <c r="H5" s="21">
        <f t="shared" si="0"/>
        <v>0</v>
      </c>
      <c r="I5" s="22">
        <f t="shared" si="0"/>
        <v>0</v>
      </c>
      <c r="J5" s="23">
        <f t="shared" si="0"/>
        <v>94</v>
      </c>
      <c r="K5" s="24">
        <f t="shared" si="0"/>
        <v>0</v>
      </c>
      <c r="L5" s="25">
        <f t="shared" si="0"/>
        <v>0</v>
      </c>
      <c r="M5" s="26">
        <f t="shared" si="0"/>
        <v>0</v>
      </c>
      <c r="S5" s="58" t="s">
        <v>59</v>
      </c>
    </row>
    <row r="6" spans="1:19" ht="15" thickBot="1">
      <c r="A6" s="91"/>
      <c r="B6" s="93"/>
      <c r="C6" s="95"/>
      <c r="D6" s="95"/>
      <c r="E6" s="27">
        <f>IF(C$5&gt;0,E5/C$5,0)</f>
        <v>1</v>
      </c>
      <c r="F6" s="28">
        <f>IF($C5&gt;0,F5/$C5,0)</f>
        <v>0.91919191919191923</v>
      </c>
      <c r="G6" s="29">
        <f>IF($C5&gt;0,G5/$C5,0)</f>
        <v>8.0808080808080815E-2</v>
      </c>
      <c r="H6" s="30">
        <f>IF($C5&gt;0,H5/$C5,0)</f>
        <v>0</v>
      </c>
      <c r="I6" s="31">
        <f>IF($C5&gt;0,I5/$C5,0)</f>
        <v>0</v>
      </c>
      <c r="J6" s="32">
        <f>IF($B5&gt;0,J5/$B5,0)</f>
        <v>0.24040920716112532</v>
      </c>
      <c r="K6" s="33"/>
      <c r="L6" s="34">
        <f>IF($B5&gt;0,L5/$B5,0)</f>
        <v>0</v>
      </c>
      <c r="M6" s="35">
        <f>IF($B5&gt;0,M5/$B5,0)</f>
        <v>0</v>
      </c>
      <c r="S6" s="58" t="s">
        <v>60</v>
      </c>
    </row>
    <row r="7" spans="1:19">
      <c r="A7" s="96" t="s">
        <v>61</v>
      </c>
      <c r="B7" s="98">
        <v>319</v>
      </c>
      <c r="C7" s="100">
        <f>B7-J7-L7-M7</f>
        <v>247</v>
      </c>
      <c r="D7" s="100">
        <f>C7-SUM(F7:I7)</f>
        <v>0</v>
      </c>
      <c r="E7" s="36">
        <f>C7-D7</f>
        <v>247</v>
      </c>
      <c r="F7" s="37">
        <f>CoreTestCase!$L$4</f>
        <v>224</v>
      </c>
      <c r="G7" s="38">
        <f>CoreTestCase!$L$5</f>
        <v>23</v>
      </c>
      <c r="H7" s="39">
        <v>0</v>
      </c>
      <c r="I7" s="40">
        <f>CoreTestCase!$L$6</f>
        <v>0</v>
      </c>
      <c r="J7" s="41">
        <f>CoreTestCase!$L$7</f>
        <v>72</v>
      </c>
      <c r="K7" s="42"/>
      <c r="L7" s="43">
        <f>CoreTestCase!$L$8</f>
        <v>0</v>
      </c>
      <c r="M7" s="44">
        <f>CoreTestCase!$L$9</f>
        <v>0</v>
      </c>
      <c r="S7" s="58" t="s">
        <v>62</v>
      </c>
    </row>
    <row r="8" spans="1:19" ht="15" thickBot="1">
      <c r="A8" s="97"/>
      <c r="B8" s="99"/>
      <c r="C8" s="101"/>
      <c r="D8" s="101"/>
      <c r="E8" s="45">
        <f>IF(C$7&gt;0,E7/C$7,0)</f>
        <v>1</v>
      </c>
      <c r="F8" s="46">
        <f>IF($C7&gt;0,F7/$C7,0)</f>
        <v>0.90688259109311742</v>
      </c>
      <c r="G8" s="47">
        <f>IF($C7&gt;0,G7/$C7,0)</f>
        <v>9.3117408906882596E-2</v>
      </c>
      <c r="H8" s="48">
        <f>IF($C7&gt;0,H7/$C7,0)</f>
        <v>0</v>
      </c>
      <c r="I8" s="49">
        <f>IF($C7&gt;0,I7/$C7,0)</f>
        <v>0</v>
      </c>
      <c r="J8" s="50">
        <f>IF($B7&gt;0,J7/$B7,0)</f>
        <v>0.22570532915360503</v>
      </c>
      <c r="K8" s="51"/>
      <c r="L8" s="52">
        <f>IF($B7&gt;0,L7/$B7,0)</f>
        <v>0</v>
      </c>
      <c r="M8" s="53">
        <v>0</v>
      </c>
      <c r="S8" s="58" t="s">
        <v>63</v>
      </c>
    </row>
    <row r="9" spans="1:19">
      <c r="A9" s="96" t="s">
        <v>64</v>
      </c>
      <c r="B9" s="98">
        <v>72</v>
      </c>
      <c r="C9" s="100">
        <f>B9-J9-L9-M9</f>
        <v>50</v>
      </c>
      <c r="D9" s="100">
        <f>C9-SUM(F9:I9)</f>
        <v>0</v>
      </c>
      <c r="E9" s="36">
        <f>C9-D9</f>
        <v>50</v>
      </c>
      <c r="F9" s="37">
        <f>EpSCTestCase!$L$4</f>
        <v>49</v>
      </c>
      <c r="G9" s="38">
        <f>EpSCTestCase!$L$5</f>
        <v>1</v>
      </c>
      <c r="H9" s="39">
        <v>0</v>
      </c>
      <c r="I9" s="40">
        <f>EpSCTestCase!$L$6</f>
        <v>0</v>
      </c>
      <c r="J9" s="41">
        <f>EpSCTestCase!$L$7</f>
        <v>22</v>
      </c>
      <c r="K9" s="42"/>
      <c r="L9" s="43">
        <f>EpSCTestCase!$L$8</f>
        <v>0</v>
      </c>
      <c r="M9" s="44">
        <f>EpSCTestCase!$L$9</f>
        <v>0</v>
      </c>
      <c r="S9" s="58" t="s">
        <v>65</v>
      </c>
    </row>
    <row r="10" spans="1:19" ht="15" thickBot="1">
      <c r="A10" s="97"/>
      <c r="B10" s="99"/>
      <c r="C10" s="101"/>
      <c r="D10" s="101"/>
      <c r="E10" s="45">
        <f>IF(C$9&gt;0,E9/C$9,0)</f>
        <v>1</v>
      </c>
      <c r="F10" s="46">
        <f>IF($C9&gt;0,F9/$C9,0)</f>
        <v>0.98</v>
      </c>
      <c r="G10" s="47">
        <f>IF($C9&gt;0,G9/$C9,0)</f>
        <v>0.02</v>
      </c>
      <c r="H10" s="48">
        <f>IF($C9&gt;0,H9/$C9,0)</f>
        <v>0</v>
      </c>
      <c r="I10" s="49">
        <f>IF($C9&gt;0,I9/$C9,0)</f>
        <v>0</v>
      </c>
      <c r="J10" s="50">
        <f>IF($B9&gt;0,J9/$B9,0)</f>
        <v>0.30555555555555558</v>
      </c>
      <c r="K10" s="51"/>
      <c r="L10" s="52">
        <f>IF($B9&gt;0,L9/$B9,0)</f>
        <v>0</v>
      </c>
      <c r="M10" s="53">
        <v>0</v>
      </c>
    </row>
  </sheetData>
  <mergeCells count="14">
    <mergeCell ref="A7:A8"/>
    <mergeCell ref="B7:B8"/>
    <mergeCell ref="C7:C8"/>
    <mergeCell ref="D7:D8"/>
    <mergeCell ref="A9:A10"/>
    <mergeCell ref="B9:B10"/>
    <mergeCell ref="C9:C10"/>
    <mergeCell ref="D9:D10"/>
    <mergeCell ref="A1:M1"/>
    <mergeCell ref="A2:M2"/>
    <mergeCell ref="A5:A6"/>
    <mergeCell ref="B5:B6"/>
    <mergeCell ref="C5:C6"/>
    <mergeCell ref="D5:D6"/>
  </mergeCells>
  <phoneticPr fontId="37" type="noConversion"/>
  <conditionalFormatting sqref="C1:C1048576">
    <cfRule type="containsText" priority="1" stopIfTrue="1" operator="containsText" text="P">
      <formula>NOT(ISERROR(SEARCH("P",C1)))</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325"/>
  <sheetViews>
    <sheetView zoomScale="85" zoomScaleNormal="85" workbookViewId="0">
      <selection activeCell="C5" sqref="C5"/>
    </sheetView>
  </sheetViews>
  <sheetFormatPr defaultRowHeight="14.45"/>
  <cols>
    <col min="1" max="1" width="24" style="54" bestFit="1" customWidth="1"/>
    <col min="2" max="2" width="145.7109375" style="54" customWidth="1"/>
    <col min="3" max="3" width="23.28515625" style="54" bestFit="1" customWidth="1"/>
    <col min="4" max="7" width="23.28515625" style="54" hidden="1" customWidth="1"/>
    <col min="8" max="8" width="16.140625" bestFit="1" customWidth="1"/>
    <col min="9" max="9" width="12.85546875" style="54" bestFit="1" customWidth="1"/>
  </cols>
  <sheetData>
    <row r="1" spans="1:12">
      <c r="B1" s="67" t="s">
        <v>66</v>
      </c>
      <c r="C1" s="58" t="s">
        <v>67</v>
      </c>
      <c r="D1" s="58" t="s">
        <v>68</v>
      </c>
      <c r="E1" s="58" t="s">
        <v>68</v>
      </c>
      <c r="F1" s="58" t="s">
        <v>68</v>
      </c>
      <c r="G1" s="58" t="s">
        <v>68</v>
      </c>
    </row>
    <row r="2" spans="1:12">
      <c r="B2" s="67" t="s">
        <v>69</v>
      </c>
      <c r="C2" s="58" t="s">
        <v>70</v>
      </c>
      <c r="D2" s="58" t="s">
        <v>71</v>
      </c>
      <c r="E2" s="58" t="s">
        <v>71</v>
      </c>
      <c r="F2" s="58" t="s">
        <v>71</v>
      </c>
      <c r="G2" s="58" t="s">
        <v>71</v>
      </c>
    </row>
    <row r="3" spans="1:12">
      <c r="B3" s="67" t="s">
        <v>72</v>
      </c>
      <c r="C3" s="58" t="s">
        <v>73</v>
      </c>
      <c r="D3" s="58" t="s">
        <v>74</v>
      </c>
      <c r="E3" s="58" t="s">
        <v>74</v>
      </c>
      <c r="F3" s="58" t="s">
        <v>74</v>
      </c>
      <c r="G3" s="58" t="s">
        <v>74</v>
      </c>
    </row>
    <row r="4" spans="1:12">
      <c r="B4" s="67" t="s">
        <v>75</v>
      </c>
      <c r="C4" s="58" t="s">
        <v>76</v>
      </c>
      <c r="D4" s="58" t="s">
        <v>77</v>
      </c>
      <c r="E4" s="58" t="s">
        <v>77</v>
      </c>
      <c r="F4" s="58" t="s">
        <v>77</v>
      </c>
      <c r="G4" s="58" t="s">
        <v>77</v>
      </c>
      <c r="K4" t="s">
        <v>57</v>
      </c>
      <c r="L4">
        <f>COUNTIFS($H:$H,K$4)</f>
        <v>224</v>
      </c>
    </row>
    <row r="5" spans="1:12">
      <c r="B5" s="67" t="s">
        <v>78</v>
      </c>
      <c r="C5" s="58" t="s">
        <v>79</v>
      </c>
      <c r="D5" s="58" t="s">
        <v>80</v>
      </c>
      <c r="E5" s="58" t="s">
        <v>80</v>
      </c>
      <c r="F5" s="58" t="s">
        <v>80</v>
      </c>
      <c r="G5" s="58" t="s">
        <v>80</v>
      </c>
      <c r="K5" t="s">
        <v>59</v>
      </c>
      <c r="L5">
        <f>COUNTIFS($H:$H,K$5)</f>
        <v>23</v>
      </c>
    </row>
    <row r="6" spans="1:12" s="70" customFormat="1" ht="19.5">
      <c r="A6" s="68" t="s">
        <v>81</v>
      </c>
      <c r="B6" s="68" t="s">
        <v>82</v>
      </c>
      <c r="C6" s="68" t="s">
        <v>83</v>
      </c>
      <c r="D6" s="68" t="s">
        <v>83</v>
      </c>
      <c r="E6" s="68" t="s">
        <v>83</v>
      </c>
      <c r="F6" s="68" t="s">
        <v>83</v>
      </c>
      <c r="G6" s="68" t="s">
        <v>83</v>
      </c>
      <c r="H6" s="69" t="s">
        <v>84</v>
      </c>
      <c r="I6" s="68" t="s">
        <v>85</v>
      </c>
      <c r="K6" s="70" t="s">
        <v>60</v>
      </c>
      <c r="L6" s="70">
        <f>COUNTIFS($H:$H,K$6)</f>
        <v>0</v>
      </c>
    </row>
    <row r="7" spans="1:12">
      <c r="A7" s="54" t="s">
        <v>86</v>
      </c>
      <c r="B7" s="54" t="s">
        <v>87</v>
      </c>
      <c r="C7" s="54" t="s">
        <v>57</v>
      </c>
      <c r="H7" t="str">
        <f t="shared" ref="H7:H70" si="0">IF(G7="",IF(F7="",IF(E7="",IF(D7="",IF(C7="","",C7),D7),E7),F7),G7)</f>
        <v>Pass</v>
      </c>
      <c r="K7" t="s">
        <v>62</v>
      </c>
      <c r="L7">
        <f>COUNTIFS($H:$H,K$7)</f>
        <v>72</v>
      </c>
    </row>
    <row r="8" spans="1:12">
      <c r="A8" s="54" t="s">
        <v>88</v>
      </c>
      <c r="B8" s="54" t="s">
        <v>89</v>
      </c>
      <c r="C8" s="54" t="s">
        <v>57</v>
      </c>
      <c r="H8" t="str">
        <f t="shared" si="0"/>
        <v>Pass</v>
      </c>
      <c r="K8" t="s">
        <v>63</v>
      </c>
      <c r="L8">
        <f>COUNTIFS($H:$H,K$8)</f>
        <v>0</v>
      </c>
    </row>
    <row r="9" spans="1:12">
      <c r="A9" s="54" t="s">
        <v>90</v>
      </c>
      <c r="B9" s="54" t="s">
        <v>91</v>
      </c>
      <c r="C9" s="54" t="s">
        <v>57</v>
      </c>
      <c r="H9" t="str">
        <f t="shared" si="0"/>
        <v>Pass</v>
      </c>
      <c r="K9" t="s">
        <v>65</v>
      </c>
      <c r="L9">
        <f>COUNTIFS($H:$H,K$9)</f>
        <v>0</v>
      </c>
    </row>
    <row r="10" spans="1:12">
      <c r="A10" s="54" t="s">
        <v>92</v>
      </c>
      <c r="B10" s="54" t="s">
        <v>93</v>
      </c>
      <c r="C10" s="54" t="s">
        <v>57</v>
      </c>
      <c r="H10" t="str">
        <f t="shared" si="0"/>
        <v>Pass</v>
      </c>
    </row>
    <row r="11" spans="1:12">
      <c r="A11" s="54" t="s">
        <v>94</v>
      </c>
      <c r="B11" s="54" t="s">
        <v>95</v>
      </c>
      <c r="C11" s="54" t="s">
        <v>57</v>
      </c>
      <c r="H11" t="str">
        <f t="shared" si="0"/>
        <v>Pass</v>
      </c>
    </row>
    <row r="12" spans="1:12">
      <c r="A12" s="54" t="s">
        <v>96</v>
      </c>
      <c r="B12" s="54" t="s">
        <v>97</v>
      </c>
      <c r="C12" s="54" t="s">
        <v>57</v>
      </c>
      <c r="H12" t="str">
        <f t="shared" si="0"/>
        <v>Pass</v>
      </c>
    </row>
    <row r="13" spans="1:12">
      <c r="A13" s="54" t="s">
        <v>98</v>
      </c>
      <c r="B13" s="54" t="s">
        <v>99</v>
      </c>
      <c r="C13" s="54" t="s">
        <v>57</v>
      </c>
      <c r="H13" t="str">
        <f t="shared" si="0"/>
        <v>Pass</v>
      </c>
    </row>
    <row r="14" spans="1:12">
      <c r="A14" s="54" t="s">
        <v>100</v>
      </c>
      <c r="B14" s="54" t="s">
        <v>101</v>
      </c>
      <c r="C14" s="54" t="s">
        <v>62</v>
      </c>
      <c r="H14" t="str">
        <f t="shared" si="0"/>
        <v>NA</v>
      </c>
      <c r="I14" s="54" t="s">
        <v>102</v>
      </c>
    </row>
    <row r="15" spans="1:12">
      <c r="A15" s="54" t="s">
        <v>103</v>
      </c>
      <c r="B15" s="54" t="s">
        <v>104</v>
      </c>
      <c r="C15" s="54" t="s">
        <v>57</v>
      </c>
      <c r="H15" t="str">
        <f t="shared" si="0"/>
        <v>Pass</v>
      </c>
    </row>
    <row r="16" spans="1:12">
      <c r="A16" s="54" t="s">
        <v>105</v>
      </c>
      <c r="B16" s="54" t="s">
        <v>106</v>
      </c>
      <c r="C16" s="54" t="s">
        <v>59</v>
      </c>
      <c r="H16" t="str">
        <f t="shared" si="0"/>
        <v>Fail</v>
      </c>
      <c r="I16" s="54" t="s">
        <v>107</v>
      </c>
    </row>
    <row r="17" spans="1:8">
      <c r="A17" s="54" t="s">
        <v>108</v>
      </c>
      <c r="B17" s="54" t="s">
        <v>109</v>
      </c>
      <c r="C17" s="54" t="s">
        <v>57</v>
      </c>
      <c r="H17" t="str">
        <f t="shared" si="0"/>
        <v>Pass</v>
      </c>
    </row>
    <row r="18" spans="1:8">
      <c r="A18" s="54" t="s">
        <v>110</v>
      </c>
      <c r="B18" s="54" t="s">
        <v>111</v>
      </c>
      <c r="C18" s="54" t="s">
        <v>57</v>
      </c>
      <c r="H18" t="str">
        <f t="shared" si="0"/>
        <v>Pass</v>
      </c>
    </row>
    <row r="19" spans="1:8">
      <c r="A19" s="54" t="s">
        <v>112</v>
      </c>
      <c r="B19" s="54" t="s">
        <v>113</v>
      </c>
      <c r="C19" s="54" t="s">
        <v>57</v>
      </c>
      <c r="H19" t="str">
        <f t="shared" si="0"/>
        <v>Pass</v>
      </c>
    </row>
    <row r="20" spans="1:8">
      <c r="A20" s="54" t="s">
        <v>114</v>
      </c>
      <c r="B20" s="54" t="s">
        <v>115</v>
      </c>
      <c r="C20" s="54" t="s">
        <v>57</v>
      </c>
      <c r="H20" t="str">
        <f t="shared" si="0"/>
        <v>Pass</v>
      </c>
    </row>
    <row r="21" spans="1:8">
      <c r="A21" s="54" t="s">
        <v>116</v>
      </c>
      <c r="B21" s="54" t="s">
        <v>117</v>
      </c>
      <c r="C21" s="54" t="s">
        <v>57</v>
      </c>
      <c r="H21" t="str">
        <f t="shared" si="0"/>
        <v>Pass</v>
      </c>
    </row>
    <row r="22" spans="1:8">
      <c r="A22" s="54" t="s">
        <v>118</v>
      </c>
      <c r="B22" s="54" t="s">
        <v>119</v>
      </c>
      <c r="C22" s="54" t="s">
        <v>57</v>
      </c>
      <c r="H22" t="str">
        <f t="shared" si="0"/>
        <v>Pass</v>
      </c>
    </row>
    <row r="23" spans="1:8">
      <c r="A23" s="54" t="s">
        <v>120</v>
      </c>
      <c r="B23" s="54" t="s">
        <v>121</v>
      </c>
      <c r="C23" s="54" t="s">
        <v>57</v>
      </c>
      <c r="H23" t="str">
        <f t="shared" si="0"/>
        <v>Pass</v>
      </c>
    </row>
    <row r="24" spans="1:8">
      <c r="A24" s="54" t="s">
        <v>122</v>
      </c>
      <c r="B24" s="54" t="s">
        <v>123</v>
      </c>
      <c r="C24" s="54" t="s">
        <v>57</v>
      </c>
      <c r="H24" t="str">
        <f t="shared" si="0"/>
        <v>Pass</v>
      </c>
    </row>
    <row r="25" spans="1:8">
      <c r="A25" s="54" t="s">
        <v>124</v>
      </c>
      <c r="B25" s="54" t="s">
        <v>125</v>
      </c>
      <c r="C25" s="54" t="s">
        <v>57</v>
      </c>
      <c r="H25" t="str">
        <f t="shared" si="0"/>
        <v>Pass</v>
      </c>
    </row>
    <row r="26" spans="1:8">
      <c r="A26" s="54" t="s">
        <v>126</v>
      </c>
      <c r="B26" s="54" t="s">
        <v>127</v>
      </c>
      <c r="C26" s="54" t="s">
        <v>57</v>
      </c>
      <c r="H26" t="str">
        <f t="shared" si="0"/>
        <v>Pass</v>
      </c>
    </row>
    <row r="27" spans="1:8">
      <c r="A27" s="54" t="s">
        <v>128</v>
      </c>
      <c r="B27" s="54" t="s">
        <v>129</v>
      </c>
      <c r="C27" s="54" t="s">
        <v>57</v>
      </c>
      <c r="H27" t="str">
        <f t="shared" si="0"/>
        <v>Pass</v>
      </c>
    </row>
    <row r="28" spans="1:8">
      <c r="A28" s="54" t="s">
        <v>130</v>
      </c>
      <c r="B28" s="54" t="s">
        <v>131</v>
      </c>
      <c r="C28" s="54" t="s">
        <v>57</v>
      </c>
      <c r="H28" t="str">
        <f t="shared" si="0"/>
        <v>Pass</v>
      </c>
    </row>
    <row r="29" spans="1:8">
      <c r="A29" s="54" t="s">
        <v>132</v>
      </c>
      <c r="B29" s="54" t="s">
        <v>133</v>
      </c>
      <c r="C29" s="54" t="s">
        <v>57</v>
      </c>
      <c r="H29" t="str">
        <f t="shared" si="0"/>
        <v>Pass</v>
      </c>
    </row>
    <row r="30" spans="1:8">
      <c r="A30" s="54" t="s">
        <v>134</v>
      </c>
      <c r="B30" s="54" t="s">
        <v>135</v>
      </c>
      <c r="C30" s="54" t="s">
        <v>57</v>
      </c>
      <c r="H30" t="str">
        <f t="shared" si="0"/>
        <v>Pass</v>
      </c>
    </row>
    <row r="31" spans="1:8">
      <c r="A31" s="54" t="s">
        <v>136</v>
      </c>
      <c r="B31" s="54" t="s">
        <v>137</v>
      </c>
      <c r="C31" s="54" t="s">
        <v>57</v>
      </c>
      <c r="H31" t="str">
        <f t="shared" si="0"/>
        <v>Pass</v>
      </c>
    </row>
    <row r="32" spans="1:8">
      <c r="A32" s="54" t="s">
        <v>138</v>
      </c>
      <c r="B32" s="54" t="s">
        <v>139</v>
      </c>
      <c r="C32" s="54" t="s">
        <v>57</v>
      </c>
      <c r="H32" t="str">
        <f t="shared" si="0"/>
        <v>Pass</v>
      </c>
    </row>
    <row r="33" spans="1:9">
      <c r="A33" s="54" t="s">
        <v>140</v>
      </c>
      <c r="B33" s="54" t="s">
        <v>141</v>
      </c>
      <c r="C33" s="54" t="s">
        <v>57</v>
      </c>
      <c r="H33" t="str">
        <f t="shared" si="0"/>
        <v>Pass</v>
      </c>
    </row>
    <row r="34" spans="1:9">
      <c r="A34" s="54" t="s">
        <v>142</v>
      </c>
      <c r="B34" s="54" t="s">
        <v>143</v>
      </c>
      <c r="C34" s="54" t="s">
        <v>57</v>
      </c>
      <c r="H34" t="str">
        <f t="shared" si="0"/>
        <v>Pass</v>
      </c>
    </row>
    <row r="35" spans="1:9">
      <c r="A35" s="54" t="s">
        <v>144</v>
      </c>
      <c r="B35" s="54" t="s">
        <v>145</v>
      </c>
      <c r="C35" s="54" t="s">
        <v>57</v>
      </c>
      <c r="H35" t="str">
        <f t="shared" si="0"/>
        <v>Pass</v>
      </c>
    </row>
    <row r="36" spans="1:9">
      <c r="A36" s="54" t="s">
        <v>146</v>
      </c>
      <c r="B36" s="54" t="s">
        <v>147</v>
      </c>
      <c r="C36" s="54" t="s">
        <v>57</v>
      </c>
      <c r="H36" t="str">
        <f t="shared" si="0"/>
        <v>Pass</v>
      </c>
    </row>
    <row r="37" spans="1:9">
      <c r="A37" s="54" t="s">
        <v>148</v>
      </c>
      <c r="B37" s="54" t="s">
        <v>149</v>
      </c>
      <c r="C37" s="54" t="s">
        <v>62</v>
      </c>
      <c r="H37" t="str">
        <f t="shared" si="0"/>
        <v>NA</v>
      </c>
      <c r="I37" s="54" t="s">
        <v>150</v>
      </c>
    </row>
    <row r="38" spans="1:9">
      <c r="A38" s="54" t="s">
        <v>151</v>
      </c>
      <c r="B38" s="54" t="s">
        <v>152</v>
      </c>
      <c r="C38" s="54" t="s">
        <v>57</v>
      </c>
      <c r="H38" t="str">
        <f t="shared" si="0"/>
        <v>Pass</v>
      </c>
    </row>
    <row r="39" spans="1:9">
      <c r="A39" s="54" t="s">
        <v>153</v>
      </c>
      <c r="B39" s="54" t="s">
        <v>154</v>
      </c>
      <c r="C39" s="54" t="s">
        <v>57</v>
      </c>
      <c r="H39" t="str">
        <f t="shared" si="0"/>
        <v>Pass</v>
      </c>
    </row>
    <row r="40" spans="1:9">
      <c r="A40" s="54" t="s">
        <v>155</v>
      </c>
      <c r="B40" s="54" t="s">
        <v>156</v>
      </c>
      <c r="C40" s="54" t="s">
        <v>57</v>
      </c>
      <c r="H40" t="str">
        <f t="shared" si="0"/>
        <v>Pass</v>
      </c>
    </row>
    <row r="41" spans="1:9">
      <c r="A41" s="54" t="s">
        <v>157</v>
      </c>
      <c r="B41" s="54" t="s">
        <v>158</v>
      </c>
      <c r="C41" s="54" t="s">
        <v>57</v>
      </c>
      <c r="H41" t="str">
        <f t="shared" si="0"/>
        <v>Pass</v>
      </c>
    </row>
    <row r="42" spans="1:9">
      <c r="A42" s="54" t="s">
        <v>159</v>
      </c>
      <c r="B42" s="54" t="s">
        <v>160</v>
      </c>
      <c r="C42" s="54" t="s">
        <v>57</v>
      </c>
      <c r="H42" t="str">
        <f t="shared" si="0"/>
        <v>Pass</v>
      </c>
    </row>
    <row r="43" spans="1:9">
      <c r="A43" s="54" t="s">
        <v>161</v>
      </c>
      <c r="B43" s="54" t="s">
        <v>162</v>
      </c>
      <c r="C43" s="54" t="s">
        <v>62</v>
      </c>
      <c r="H43" t="str">
        <f t="shared" si="0"/>
        <v>NA</v>
      </c>
      <c r="I43" s="54" t="s">
        <v>163</v>
      </c>
    </row>
    <row r="44" spans="1:9">
      <c r="A44" s="54" t="s">
        <v>164</v>
      </c>
      <c r="B44" s="54" t="s">
        <v>165</v>
      </c>
      <c r="C44" s="54" t="s">
        <v>57</v>
      </c>
      <c r="H44" t="str">
        <f t="shared" si="0"/>
        <v>Pass</v>
      </c>
    </row>
    <row r="45" spans="1:9">
      <c r="A45" s="54" t="s">
        <v>166</v>
      </c>
      <c r="B45" s="54" t="s">
        <v>167</v>
      </c>
      <c r="C45" s="54" t="s">
        <v>57</v>
      </c>
      <c r="H45" t="str">
        <f t="shared" si="0"/>
        <v>Pass</v>
      </c>
    </row>
    <row r="46" spans="1:9">
      <c r="A46" s="54" t="s">
        <v>168</v>
      </c>
      <c r="B46" s="54" t="s">
        <v>169</v>
      </c>
      <c r="C46" s="54" t="s">
        <v>62</v>
      </c>
      <c r="H46" t="str">
        <f t="shared" si="0"/>
        <v>NA</v>
      </c>
      <c r="I46" s="54" t="s">
        <v>170</v>
      </c>
    </row>
    <row r="47" spans="1:9">
      <c r="A47" s="54" t="s">
        <v>171</v>
      </c>
      <c r="B47" s="54" t="s">
        <v>172</v>
      </c>
      <c r="C47" s="54" t="s">
        <v>57</v>
      </c>
      <c r="H47" t="str">
        <f t="shared" si="0"/>
        <v>Pass</v>
      </c>
    </row>
    <row r="48" spans="1:9">
      <c r="A48" s="54" t="s">
        <v>173</v>
      </c>
      <c r="B48" s="54" t="s">
        <v>174</v>
      </c>
      <c r="C48" s="54" t="s">
        <v>57</v>
      </c>
      <c r="H48" t="str">
        <f t="shared" si="0"/>
        <v>Pass</v>
      </c>
    </row>
    <row r="49" spans="1:9">
      <c r="A49" s="54" t="s">
        <v>175</v>
      </c>
      <c r="B49" s="54" t="s">
        <v>176</v>
      </c>
      <c r="C49" s="54" t="s">
        <v>57</v>
      </c>
      <c r="H49" t="str">
        <f t="shared" si="0"/>
        <v>Pass</v>
      </c>
    </row>
    <row r="50" spans="1:9">
      <c r="A50" s="54" t="s">
        <v>177</v>
      </c>
      <c r="B50" s="54" t="s">
        <v>178</v>
      </c>
      <c r="C50" s="54" t="s">
        <v>57</v>
      </c>
      <c r="H50" t="str">
        <f t="shared" si="0"/>
        <v>Pass</v>
      </c>
    </row>
    <row r="51" spans="1:9">
      <c r="A51" s="54" t="s">
        <v>179</v>
      </c>
      <c r="B51" s="54" t="s">
        <v>180</v>
      </c>
      <c r="C51" s="54" t="s">
        <v>57</v>
      </c>
      <c r="H51" t="str">
        <f t="shared" si="0"/>
        <v>Pass</v>
      </c>
    </row>
    <row r="52" spans="1:9">
      <c r="A52" s="54" t="s">
        <v>181</v>
      </c>
      <c r="B52" s="54" t="s">
        <v>182</v>
      </c>
      <c r="C52" s="54" t="s">
        <v>57</v>
      </c>
      <c r="H52" t="str">
        <f t="shared" si="0"/>
        <v>Pass</v>
      </c>
    </row>
    <row r="53" spans="1:9">
      <c r="A53" s="54" t="s">
        <v>183</v>
      </c>
      <c r="B53" s="54" t="s">
        <v>184</v>
      </c>
      <c r="C53" s="54" t="s">
        <v>57</v>
      </c>
      <c r="H53" t="str">
        <f t="shared" si="0"/>
        <v>Pass</v>
      </c>
    </row>
    <row r="54" spans="1:9">
      <c r="A54" s="54" t="s">
        <v>185</v>
      </c>
      <c r="B54" s="54" t="s">
        <v>186</v>
      </c>
      <c r="C54" s="54" t="s">
        <v>59</v>
      </c>
      <c r="H54" t="str">
        <f t="shared" si="0"/>
        <v>Fail</v>
      </c>
      <c r="I54" s="54" t="s">
        <v>187</v>
      </c>
    </row>
    <row r="55" spans="1:9">
      <c r="A55" s="54" t="s">
        <v>188</v>
      </c>
      <c r="B55" s="54" t="s">
        <v>189</v>
      </c>
      <c r="C55" s="54" t="s">
        <v>57</v>
      </c>
      <c r="H55" t="str">
        <f t="shared" si="0"/>
        <v>Pass</v>
      </c>
    </row>
    <row r="56" spans="1:9">
      <c r="A56" s="54" t="s">
        <v>190</v>
      </c>
      <c r="B56" s="54" t="s">
        <v>191</v>
      </c>
      <c r="C56" s="54" t="s">
        <v>57</v>
      </c>
      <c r="H56" t="str">
        <f t="shared" si="0"/>
        <v>Pass</v>
      </c>
    </row>
    <row r="57" spans="1:9">
      <c r="A57" s="54" t="s">
        <v>192</v>
      </c>
      <c r="B57" s="54" t="s">
        <v>193</v>
      </c>
      <c r="C57" s="54" t="s">
        <v>57</v>
      </c>
      <c r="H57" t="str">
        <f t="shared" si="0"/>
        <v>Pass</v>
      </c>
    </row>
    <row r="58" spans="1:9">
      <c r="A58" s="54" t="s">
        <v>194</v>
      </c>
      <c r="B58" s="54" t="s">
        <v>195</v>
      </c>
      <c r="C58" s="54" t="s">
        <v>62</v>
      </c>
      <c r="H58" t="str">
        <f t="shared" si="0"/>
        <v>NA</v>
      </c>
      <c r="I58" s="54" t="s">
        <v>196</v>
      </c>
    </row>
    <row r="59" spans="1:9">
      <c r="A59" s="54" t="s">
        <v>197</v>
      </c>
      <c r="B59" s="54" t="s">
        <v>198</v>
      </c>
      <c r="C59" s="54" t="s">
        <v>57</v>
      </c>
      <c r="H59" t="str">
        <f t="shared" si="0"/>
        <v>Pass</v>
      </c>
    </row>
    <row r="60" spans="1:9">
      <c r="A60" s="54" t="s">
        <v>199</v>
      </c>
      <c r="B60" s="54" t="s">
        <v>200</v>
      </c>
      <c r="C60" s="54" t="s">
        <v>57</v>
      </c>
      <c r="H60" t="str">
        <f t="shared" si="0"/>
        <v>Pass</v>
      </c>
    </row>
    <row r="61" spans="1:9">
      <c r="A61" s="54" t="s">
        <v>201</v>
      </c>
      <c r="B61" s="54" t="s">
        <v>202</v>
      </c>
      <c r="C61" s="54" t="s">
        <v>57</v>
      </c>
      <c r="H61" t="str">
        <f t="shared" si="0"/>
        <v>Pass</v>
      </c>
    </row>
    <row r="62" spans="1:9">
      <c r="A62" s="54" t="s">
        <v>203</v>
      </c>
      <c r="B62" s="54" t="s">
        <v>204</v>
      </c>
      <c r="C62" s="54" t="s">
        <v>57</v>
      </c>
      <c r="H62" t="str">
        <f t="shared" si="0"/>
        <v>Pass</v>
      </c>
    </row>
    <row r="63" spans="1:9">
      <c r="A63" s="54" t="s">
        <v>205</v>
      </c>
      <c r="B63" s="54" t="s">
        <v>206</v>
      </c>
      <c r="C63" s="54" t="s">
        <v>62</v>
      </c>
      <c r="H63" t="str">
        <f t="shared" si="0"/>
        <v>NA</v>
      </c>
      <c r="I63" t="s">
        <v>207</v>
      </c>
    </row>
    <row r="64" spans="1:9">
      <c r="A64" s="54" t="s">
        <v>208</v>
      </c>
      <c r="B64" s="54" t="s">
        <v>209</v>
      </c>
      <c r="C64" s="54" t="s">
        <v>57</v>
      </c>
      <c r="H64" t="str">
        <f t="shared" si="0"/>
        <v>Pass</v>
      </c>
    </row>
    <row r="65" spans="1:9">
      <c r="A65" s="54" t="s">
        <v>210</v>
      </c>
      <c r="B65" s="54" t="s">
        <v>211</v>
      </c>
      <c r="C65" s="54" t="s">
        <v>62</v>
      </c>
      <c r="H65" t="str">
        <f t="shared" si="0"/>
        <v>NA</v>
      </c>
      <c r="I65" t="s">
        <v>212</v>
      </c>
    </row>
    <row r="66" spans="1:9">
      <c r="A66" s="54" t="s">
        <v>213</v>
      </c>
      <c r="B66" s="54" t="s">
        <v>214</v>
      </c>
      <c r="C66" s="54" t="s">
        <v>62</v>
      </c>
      <c r="H66" t="str">
        <f t="shared" si="0"/>
        <v>NA</v>
      </c>
      <c r="I66" t="s">
        <v>212</v>
      </c>
    </row>
    <row r="67" spans="1:9">
      <c r="A67" s="54" t="s">
        <v>215</v>
      </c>
      <c r="B67" s="54" t="s">
        <v>216</v>
      </c>
      <c r="C67" s="54" t="s">
        <v>62</v>
      </c>
      <c r="H67" t="str">
        <f t="shared" si="0"/>
        <v>NA</v>
      </c>
      <c r="I67" t="s">
        <v>212</v>
      </c>
    </row>
    <row r="68" spans="1:9">
      <c r="A68" s="54" t="s">
        <v>217</v>
      </c>
      <c r="B68" s="54" t="s">
        <v>218</v>
      </c>
      <c r="C68" s="54" t="s">
        <v>62</v>
      </c>
      <c r="H68" t="str">
        <f t="shared" si="0"/>
        <v>NA</v>
      </c>
      <c r="I68" t="s">
        <v>219</v>
      </c>
    </row>
    <row r="69" spans="1:9">
      <c r="A69" s="54" t="s">
        <v>220</v>
      </c>
      <c r="B69" s="54" t="s">
        <v>221</v>
      </c>
      <c r="C69" s="54" t="s">
        <v>57</v>
      </c>
      <c r="H69" t="str">
        <f t="shared" si="0"/>
        <v>Pass</v>
      </c>
    </row>
    <row r="70" spans="1:9">
      <c r="A70" s="54" t="s">
        <v>222</v>
      </c>
      <c r="B70" s="54" t="s">
        <v>223</v>
      </c>
      <c r="C70" s="54" t="s">
        <v>57</v>
      </c>
      <c r="H70" t="str">
        <f t="shared" si="0"/>
        <v>Pass</v>
      </c>
    </row>
    <row r="71" spans="1:9">
      <c r="A71" s="54" t="s">
        <v>224</v>
      </c>
      <c r="B71" s="54" t="s">
        <v>225</v>
      </c>
      <c r="C71" s="54" t="s">
        <v>62</v>
      </c>
      <c r="H71" t="str">
        <f t="shared" ref="H71:H134" si="1">IF(G71="",IF(F71="",IF(E71="",IF(D71="",IF(C71="","",C71),D71),E71),F71),G71)</f>
        <v>NA</v>
      </c>
      <c r="I71" s="54" t="s">
        <v>226</v>
      </c>
    </row>
    <row r="72" spans="1:9">
      <c r="A72" s="54" t="s">
        <v>227</v>
      </c>
      <c r="B72" s="54" t="s">
        <v>228</v>
      </c>
      <c r="C72" s="54" t="s">
        <v>57</v>
      </c>
      <c r="H72" t="str">
        <f t="shared" si="1"/>
        <v>Pass</v>
      </c>
    </row>
    <row r="73" spans="1:9">
      <c r="A73" s="54" t="s">
        <v>229</v>
      </c>
      <c r="B73" s="54" t="s">
        <v>230</v>
      </c>
      <c r="C73" s="54" t="s">
        <v>62</v>
      </c>
      <c r="H73" t="str">
        <f t="shared" si="1"/>
        <v>NA</v>
      </c>
      <c r="I73" s="54" t="s">
        <v>226</v>
      </c>
    </row>
    <row r="74" spans="1:9">
      <c r="A74" s="54" t="s">
        <v>231</v>
      </c>
      <c r="B74" s="54" t="s">
        <v>232</v>
      </c>
      <c r="C74" s="54" t="s">
        <v>57</v>
      </c>
      <c r="H74" t="str">
        <f t="shared" si="1"/>
        <v>Pass</v>
      </c>
    </row>
    <row r="75" spans="1:9">
      <c r="A75" s="54" t="s">
        <v>233</v>
      </c>
      <c r="B75" s="54" t="s">
        <v>234</v>
      </c>
      <c r="C75" s="54" t="s">
        <v>57</v>
      </c>
      <c r="H75" t="str">
        <f t="shared" si="1"/>
        <v>Pass</v>
      </c>
    </row>
    <row r="76" spans="1:9">
      <c r="A76" s="54" t="s">
        <v>235</v>
      </c>
      <c r="B76" s="54" t="s">
        <v>236</v>
      </c>
      <c r="C76" s="54" t="s">
        <v>57</v>
      </c>
      <c r="H76" t="str">
        <f t="shared" si="1"/>
        <v>Pass</v>
      </c>
    </row>
    <row r="77" spans="1:9">
      <c r="A77" s="54" t="s">
        <v>237</v>
      </c>
      <c r="B77" s="54" t="s">
        <v>238</v>
      </c>
      <c r="C77" s="54" t="s">
        <v>57</v>
      </c>
      <c r="H77" t="str">
        <f t="shared" si="1"/>
        <v>Pass</v>
      </c>
    </row>
    <row r="78" spans="1:9">
      <c r="A78" s="54" t="s">
        <v>239</v>
      </c>
      <c r="B78" s="54" t="s">
        <v>240</v>
      </c>
      <c r="C78" s="54" t="s">
        <v>57</v>
      </c>
      <c r="H78" t="str">
        <f t="shared" si="1"/>
        <v>Pass</v>
      </c>
    </row>
    <row r="79" spans="1:9">
      <c r="A79" s="54" t="s">
        <v>241</v>
      </c>
      <c r="B79" s="54" t="s">
        <v>242</v>
      </c>
      <c r="C79" s="54" t="s">
        <v>57</v>
      </c>
      <c r="H79" t="str">
        <f t="shared" si="1"/>
        <v>Pass</v>
      </c>
    </row>
    <row r="80" spans="1:9">
      <c r="A80" s="54" t="s">
        <v>243</v>
      </c>
      <c r="B80" s="54" t="s">
        <v>244</v>
      </c>
      <c r="C80" s="54" t="s">
        <v>57</v>
      </c>
      <c r="H80" t="str">
        <f t="shared" si="1"/>
        <v>Pass</v>
      </c>
    </row>
    <row r="81" spans="1:9">
      <c r="A81" s="54" t="s">
        <v>245</v>
      </c>
      <c r="B81" s="54" t="s">
        <v>246</v>
      </c>
      <c r="C81" s="54" t="s">
        <v>62</v>
      </c>
      <c r="H81" t="str">
        <f t="shared" si="1"/>
        <v>NA</v>
      </c>
      <c r="I81" s="54" t="s">
        <v>226</v>
      </c>
    </row>
    <row r="82" spans="1:9">
      <c r="A82" s="54" t="s">
        <v>247</v>
      </c>
      <c r="B82" s="54" t="s">
        <v>248</v>
      </c>
      <c r="C82" s="54" t="s">
        <v>57</v>
      </c>
      <c r="H82" t="str">
        <f t="shared" si="1"/>
        <v>Pass</v>
      </c>
    </row>
    <row r="83" spans="1:9">
      <c r="A83" s="54" t="s">
        <v>249</v>
      </c>
      <c r="B83" s="54" t="s">
        <v>250</v>
      </c>
      <c r="C83" s="54" t="s">
        <v>57</v>
      </c>
      <c r="H83" t="str">
        <f t="shared" si="1"/>
        <v>Pass</v>
      </c>
    </row>
    <row r="84" spans="1:9">
      <c r="A84" s="54" t="s">
        <v>251</v>
      </c>
      <c r="B84" s="54" t="s">
        <v>252</v>
      </c>
      <c r="C84" s="54" t="s">
        <v>62</v>
      </c>
      <c r="H84" t="str">
        <f t="shared" si="1"/>
        <v>NA</v>
      </c>
      <c r="I84" t="s">
        <v>253</v>
      </c>
    </row>
    <row r="85" spans="1:9">
      <c r="A85" s="54" t="s">
        <v>254</v>
      </c>
      <c r="B85" s="54" t="s">
        <v>255</v>
      </c>
      <c r="C85" s="54" t="s">
        <v>57</v>
      </c>
      <c r="H85" t="str">
        <f t="shared" si="1"/>
        <v>Pass</v>
      </c>
    </row>
    <row r="86" spans="1:9">
      <c r="A86" s="54" t="s">
        <v>256</v>
      </c>
      <c r="B86" s="54" t="s">
        <v>257</v>
      </c>
      <c r="C86" s="54" t="s">
        <v>57</v>
      </c>
      <c r="H86" t="str">
        <f t="shared" si="1"/>
        <v>Pass</v>
      </c>
    </row>
    <row r="87" spans="1:9">
      <c r="A87" s="54" t="s">
        <v>258</v>
      </c>
      <c r="B87" s="54" t="s">
        <v>259</v>
      </c>
      <c r="C87" s="54" t="s">
        <v>57</v>
      </c>
      <c r="H87" t="str">
        <f t="shared" si="1"/>
        <v>Pass</v>
      </c>
    </row>
    <row r="88" spans="1:9">
      <c r="A88" s="54" t="s">
        <v>260</v>
      </c>
      <c r="B88" s="54" t="s">
        <v>261</v>
      </c>
      <c r="C88" s="54" t="s">
        <v>57</v>
      </c>
      <c r="H88" t="str">
        <f t="shared" si="1"/>
        <v>Pass</v>
      </c>
    </row>
    <row r="89" spans="1:9">
      <c r="A89" s="54" t="s">
        <v>262</v>
      </c>
      <c r="B89" s="54" t="s">
        <v>263</v>
      </c>
      <c r="C89" s="54" t="s">
        <v>57</v>
      </c>
      <c r="H89" t="str">
        <f t="shared" si="1"/>
        <v>Pass</v>
      </c>
    </row>
    <row r="90" spans="1:9">
      <c r="A90" s="54" t="s">
        <v>264</v>
      </c>
      <c r="B90" s="54" t="s">
        <v>265</v>
      </c>
      <c r="C90" s="54" t="s">
        <v>57</v>
      </c>
      <c r="H90" t="str">
        <f t="shared" si="1"/>
        <v>Pass</v>
      </c>
    </row>
    <row r="91" spans="1:9">
      <c r="A91" s="54" t="s">
        <v>266</v>
      </c>
      <c r="B91" s="54" t="s">
        <v>267</v>
      </c>
      <c r="C91" s="54" t="s">
        <v>57</v>
      </c>
      <c r="H91" t="str">
        <f t="shared" si="1"/>
        <v>Pass</v>
      </c>
    </row>
    <row r="92" spans="1:9">
      <c r="A92" s="54" t="s">
        <v>268</v>
      </c>
      <c r="B92" s="54" t="s">
        <v>269</v>
      </c>
      <c r="C92" s="54" t="s">
        <v>57</v>
      </c>
      <c r="H92" t="str">
        <f t="shared" si="1"/>
        <v>Pass</v>
      </c>
    </row>
    <row r="93" spans="1:9">
      <c r="A93" s="54" t="s">
        <v>270</v>
      </c>
      <c r="B93" s="54" t="s">
        <v>271</v>
      </c>
      <c r="C93" s="54" t="s">
        <v>57</v>
      </c>
      <c r="H93" t="str">
        <f t="shared" si="1"/>
        <v>Pass</v>
      </c>
    </row>
    <row r="94" spans="1:9">
      <c r="A94" s="54" t="s">
        <v>272</v>
      </c>
      <c r="B94" s="54" t="s">
        <v>273</v>
      </c>
      <c r="C94" s="54" t="s">
        <v>57</v>
      </c>
      <c r="H94" t="str">
        <f t="shared" si="1"/>
        <v>Pass</v>
      </c>
    </row>
    <row r="95" spans="1:9">
      <c r="A95" s="54" t="s">
        <v>274</v>
      </c>
      <c r="B95" s="54" t="s">
        <v>275</v>
      </c>
      <c r="C95" s="54" t="s">
        <v>57</v>
      </c>
      <c r="H95" t="str">
        <f t="shared" si="1"/>
        <v>Pass</v>
      </c>
    </row>
    <row r="96" spans="1:9">
      <c r="A96" s="54" t="s">
        <v>276</v>
      </c>
      <c r="B96" s="54" t="s">
        <v>277</v>
      </c>
      <c r="C96" s="54" t="s">
        <v>57</v>
      </c>
      <c r="H96" t="str">
        <f t="shared" si="1"/>
        <v>Pass</v>
      </c>
    </row>
    <row r="97" spans="1:9">
      <c r="A97" s="54" t="s">
        <v>278</v>
      </c>
      <c r="B97" s="54" t="s">
        <v>279</v>
      </c>
      <c r="C97" s="54" t="s">
        <v>57</v>
      </c>
      <c r="H97" t="str">
        <f t="shared" si="1"/>
        <v>Pass</v>
      </c>
    </row>
    <row r="98" spans="1:9">
      <c r="A98" s="54" t="s">
        <v>280</v>
      </c>
      <c r="B98" s="54" t="s">
        <v>281</v>
      </c>
      <c r="C98" s="54" t="s">
        <v>62</v>
      </c>
      <c r="H98" t="str">
        <f t="shared" si="1"/>
        <v>NA</v>
      </c>
      <c r="I98" s="54" t="s">
        <v>282</v>
      </c>
    </row>
    <row r="99" spans="1:9">
      <c r="A99" s="54" t="s">
        <v>283</v>
      </c>
      <c r="B99" s="54" t="s">
        <v>284</v>
      </c>
      <c r="C99" s="54" t="s">
        <v>57</v>
      </c>
      <c r="H99" t="str">
        <f t="shared" si="1"/>
        <v>Pass</v>
      </c>
    </row>
    <row r="100" spans="1:9">
      <c r="A100" s="54" t="s">
        <v>285</v>
      </c>
      <c r="B100" s="54" t="s">
        <v>286</v>
      </c>
      <c r="C100" s="54" t="s">
        <v>57</v>
      </c>
      <c r="H100" t="str">
        <f t="shared" si="1"/>
        <v>Pass</v>
      </c>
    </row>
    <row r="101" spans="1:9">
      <c r="A101" s="54" t="s">
        <v>287</v>
      </c>
      <c r="B101" s="54" t="s">
        <v>288</v>
      </c>
      <c r="C101" s="54" t="s">
        <v>57</v>
      </c>
      <c r="H101" t="str">
        <f t="shared" si="1"/>
        <v>Pass</v>
      </c>
    </row>
    <row r="102" spans="1:9">
      <c r="A102" s="54" t="s">
        <v>289</v>
      </c>
      <c r="B102" s="54" t="s">
        <v>290</v>
      </c>
      <c r="C102" s="54" t="s">
        <v>57</v>
      </c>
      <c r="H102" t="str">
        <f t="shared" si="1"/>
        <v>Pass</v>
      </c>
    </row>
    <row r="103" spans="1:9">
      <c r="A103" s="54" t="s">
        <v>291</v>
      </c>
      <c r="B103" s="54" t="s">
        <v>292</v>
      </c>
      <c r="C103" s="54" t="s">
        <v>57</v>
      </c>
      <c r="H103" t="str">
        <f t="shared" si="1"/>
        <v>Pass</v>
      </c>
    </row>
    <row r="104" spans="1:9">
      <c r="A104" s="54" t="s">
        <v>293</v>
      </c>
      <c r="B104" s="54" t="s">
        <v>294</v>
      </c>
      <c r="C104" s="54" t="s">
        <v>57</v>
      </c>
      <c r="H104" t="str">
        <f t="shared" si="1"/>
        <v>Pass</v>
      </c>
    </row>
    <row r="105" spans="1:9">
      <c r="A105" s="54" t="s">
        <v>295</v>
      </c>
      <c r="B105" s="54" t="s">
        <v>296</v>
      </c>
      <c r="C105" s="54" t="s">
        <v>57</v>
      </c>
      <c r="H105" t="str">
        <f t="shared" si="1"/>
        <v>Pass</v>
      </c>
    </row>
    <row r="106" spans="1:9">
      <c r="A106" s="54" t="s">
        <v>297</v>
      </c>
      <c r="B106" s="54" t="s">
        <v>298</v>
      </c>
      <c r="C106" s="54" t="s">
        <v>62</v>
      </c>
      <c r="H106" t="str">
        <f t="shared" si="1"/>
        <v>NA</v>
      </c>
      <c r="I106" s="54" t="s">
        <v>226</v>
      </c>
    </row>
    <row r="107" spans="1:9">
      <c r="A107" s="54" t="s">
        <v>299</v>
      </c>
      <c r="B107" s="54" t="s">
        <v>300</v>
      </c>
      <c r="C107" s="54" t="s">
        <v>57</v>
      </c>
      <c r="H107" t="str">
        <f t="shared" si="1"/>
        <v>Pass</v>
      </c>
    </row>
    <row r="108" spans="1:9">
      <c r="A108" s="54" t="s">
        <v>301</v>
      </c>
      <c r="B108" s="54" t="s">
        <v>302</v>
      </c>
      <c r="C108" s="54" t="s">
        <v>57</v>
      </c>
      <c r="H108" t="str">
        <f t="shared" si="1"/>
        <v>Pass</v>
      </c>
    </row>
    <row r="109" spans="1:9">
      <c r="A109" s="54" t="s">
        <v>303</v>
      </c>
      <c r="B109" s="54" t="s">
        <v>304</v>
      </c>
      <c r="C109" s="54" t="s">
        <v>62</v>
      </c>
      <c r="H109" t="str">
        <f t="shared" si="1"/>
        <v>NA</v>
      </c>
      <c r="I109" s="54" t="s">
        <v>212</v>
      </c>
    </row>
    <row r="110" spans="1:9">
      <c r="A110" s="54" t="s">
        <v>305</v>
      </c>
      <c r="B110" s="54" t="s">
        <v>306</v>
      </c>
      <c r="C110" s="54" t="s">
        <v>62</v>
      </c>
      <c r="H110" t="str">
        <f t="shared" si="1"/>
        <v>NA</v>
      </c>
      <c r="I110" s="54" t="s">
        <v>307</v>
      </c>
    </row>
    <row r="111" spans="1:9">
      <c r="A111" s="54" t="s">
        <v>308</v>
      </c>
      <c r="B111" s="54" t="s">
        <v>309</v>
      </c>
      <c r="C111" s="54" t="s">
        <v>62</v>
      </c>
      <c r="H111" t="str">
        <f t="shared" si="1"/>
        <v>NA</v>
      </c>
      <c r="I111" s="54" t="s">
        <v>310</v>
      </c>
    </row>
    <row r="112" spans="1:9">
      <c r="A112" s="54" t="s">
        <v>311</v>
      </c>
      <c r="B112" s="54" t="s">
        <v>312</v>
      </c>
      <c r="C112" s="54" t="s">
        <v>62</v>
      </c>
      <c r="H112" t="str">
        <f t="shared" si="1"/>
        <v>NA</v>
      </c>
      <c r="I112" s="54" t="s">
        <v>313</v>
      </c>
    </row>
    <row r="113" spans="1:9">
      <c r="A113" s="54" t="s">
        <v>314</v>
      </c>
      <c r="B113" s="54" t="s">
        <v>315</v>
      </c>
      <c r="C113" s="54" t="s">
        <v>62</v>
      </c>
      <c r="H113" t="str">
        <f t="shared" si="1"/>
        <v>NA</v>
      </c>
      <c r="I113" s="54" t="s">
        <v>226</v>
      </c>
    </row>
    <row r="114" spans="1:9">
      <c r="A114" s="54" t="s">
        <v>316</v>
      </c>
      <c r="B114" s="54" t="s">
        <v>317</v>
      </c>
      <c r="C114" s="54" t="s">
        <v>57</v>
      </c>
      <c r="H114" t="str">
        <f t="shared" si="1"/>
        <v>Pass</v>
      </c>
    </row>
    <row r="115" spans="1:9">
      <c r="A115" s="54" t="s">
        <v>318</v>
      </c>
      <c r="B115" s="54" t="s">
        <v>319</v>
      </c>
      <c r="C115" s="54" t="s">
        <v>57</v>
      </c>
      <c r="H115" t="str">
        <f t="shared" si="1"/>
        <v>Pass</v>
      </c>
    </row>
    <row r="116" spans="1:9">
      <c r="A116" s="54" t="s">
        <v>320</v>
      </c>
      <c r="B116" s="54" t="s">
        <v>321</v>
      </c>
      <c r="C116" s="54" t="s">
        <v>57</v>
      </c>
      <c r="H116" t="str">
        <f t="shared" si="1"/>
        <v>Pass</v>
      </c>
    </row>
    <row r="117" spans="1:9">
      <c r="A117" s="54" t="s">
        <v>322</v>
      </c>
      <c r="B117" s="54" t="s">
        <v>323</v>
      </c>
      <c r="C117" s="54" t="s">
        <v>57</v>
      </c>
      <c r="H117" t="str">
        <f t="shared" si="1"/>
        <v>Pass</v>
      </c>
    </row>
    <row r="118" spans="1:9">
      <c r="A118" s="54" t="s">
        <v>324</v>
      </c>
      <c r="B118" s="54" t="s">
        <v>325</v>
      </c>
      <c r="C118" s="54" t="s">
        <v>62</v>
      </c>
      <c r="H118" t="str">
        <f t="shared" si="1"/>
        <v>NA</v>
      </c>
      <c r="I118" s="54" t="s">
        <v>326</v>
      </c>
    </row>
    <row r="119" spans="1:9">
      <c r="A119" s="54" t="s">
        <v>327</v>
      </c>
      <c r="B119" s="54" t="s">
        <v>328</v>
      </c>
      <c r="C119" s="54" t="s">
        <v>57</v>
      </c>
      <c r="H119" t="str">
        <f t="shared" si="1"/>
        <v>Pass</v>
      </c>
    </row>
    <row r="120" spans="1:9">
      <c r="A120" s="54" t="s">
        <v>329</v>
      </c>
      <c r="B120" s="54" t="s">
        <v>330</v>
      </c>
      <c r="C120" s="54" t="s">
        <v>57</v>
      </c>
      <c r="H120" t="str">
        <f t="shared" si="1"/>
        <v>Pass</v>
      </c>
    </row>
    <row r="121" spans="1:9">
      <c r="A121" s="54" t="s">
        <v>331</v>
      </c>
      <c r="B121" s="54" t="s">
        <v>332</v>
      </c>
      <c r="C121" s="54" t="s">
        <v>62</v>
      </c>
      <c r="H121" t="str">
        <f t="shared" si="1"/>
        <v>NA</v>
      </c>
      <c r="I121" s="54" t="s">
        <v>333</v>
      </c>
    </row>
    <row r="122" spans="1:9">
      <c r="A122" s="54" t="s">
        <v>334</v>
      </c>
      <c r="B122" s="54" t="s">
        <v>335</v>
      </c>
      <c r="C122" s="54" t="s">
        <v>62</v>
      </c>
      <c r="H122" t="str">
        <f t="shared" si="1"/>
        <v>NA</v>
      </c>
      <c r="I122" s="54" t="s">
        <v>336</v>
      </c>
    </row>
    <row r="123" spans="1:9">
      <c r="A123" s="54" t="s">
        <v>337</v>
      </c>
      <c r="B123" s="54" t="s">
        <v>338</v>
      </c>
      <c r="C123" s="54" t="s">
        <v>57</v>
      </c>
      <c r="H123" t="str">
        <f t="shared" si="1"/>
        <v>Pass</v>
      </c>
    </row>
    <row r="124" spans="1:9">
      <c r="A124" s="54" t="s">
        <v>339</v>
      </c>
      <c r="B124" s="54" t="s">
        <v>340</v>
      </c>
      <c r="C124" s="54" t="s">
        <v>62</v>
      </c>
      <c r="H124" t="str">
        <f t="shared" si="1"/>
        <v>NA</v>
      </c>
      <c r="I124" s="54" t="s">
        <v>341</v>
      </c>
    </row>
    <row r="125" spans="1:9">
      <c r="A125" s="54" t="s">
        <v>342</v>
      </c>
      <c r="B125" s="54" t="s">
        <v>343</v>
      </c>
      <c r="C125" s="54" t="s">
        <v>57</v>
      </c>
      <c r="H125" t="str">
        <f t="shared" si="1"/>
        <v>Pass</v>
      </c>
    </row>
    <row r="126" spans="1:9">
      <c r="A126" s="54" t="s">
        <v>344</v>
      </c>
      <c r="B126" s="54" t="s">
        <v>345</v>
      </c>
      <c r="C126" s="54" t="s">
        <v>57</v>
      </c>
      <c r="H126" t="str">
        <f t="shared" si="1"/>
        <v>Pass</v>
      </c>
    </row>
    <row r="127" spans="1:9">
      <c r="A127" s="54" t="s">
        <v>346</v>
      </c>
      <c r="B127" s="54" t="s">
        <v>347</v>
      </c>
      <c r="C127" s="54" t="s">
        <v>57</v>
      </c>
      <c r="H127" t="str">
        <f t="shared" si="1"/>
        <v>Pass</v>
      </c>
    </row>
    <row r="128" spans="1:9">
      <c r="A128" s="54" t="s">
        <v>348</v>
      </c>
      <c r="B128" s="54" t="s">
        <v>349</v>
      </c>
      <c r="C128" s="54" t="s">
        <v>57</v>
      </c>
      <c r="H128" t="str">
        <f t="shared" si="1"/>
        <v>Pass</v>
      </c>
    </row>
    <row r="129" spans="1:9">
      <c r="A129" s="54" t="s">
        <v>350</v>
      </c>
      <c r="B129" s="54" t="s">
        <v>351</v>
      </c>
      <c r="C129" s="54" t="s">
        <v>57</v>
      </c>
      <c r="H129" t="str">
        <f t="shared" si="1"/>
        <v>Pass</v>
      </c>
    </row>
    <row r="130" spans="1:9">
      <c r="A130" s="54" t="s">
        <v>352</v>
      </c>
      <c r="B130" s="54" t="s">
        <v>353</v>
      </c>
      <c r="C130" s="54" t="s">
        <v>57</v>
      </c>
      <c r="H130" t="str">
        <f t="shared" si="1"/>
        <v>Pass</v>
      </c>
    </row>
    <row r="131" spans="1:9">
      <c r="A131" s="54" t="s">
        <v>354</v>
      </c>
      <c r="B131" s="54" t="s">
        <v>355</v>
      </c>
      <c r="C131" s="54" t="s">
        <v>57</v>
      </c>
      <c r="H131" t="str">
        <f t="shared" si="1"/>
        <v>Pass</v>
      </c>
    </row>
    <row r="132" spans="1:9">
      <c r="A132" s="54" t="s">
        <v>356</v>
      </c>
      <c r="B132" s="54" t="s">
        <v>357</v>
      </c>
      <c r="C132" s="54" t="s">
        <v>62</v>
      </c>
      <c r="H132" t="str">
        <f t="shared" si="1"/>
        <v>NA</v>
      </c>
      <c r="I132" s="54" t="s">
        <v>358</v>
      </c>
    </row>
    <row r="133" spans="1:9">
      <c r="A133" s="54" t="s">
        <v>359</v>
      </c>
      <c r="B133" s="54" t="s">
        <v>360</v>
      </c>
      <c r="C133" s="54" t="s">
        <v>57</v>
      </c>
      <c r="H133" t="str">
        <f t="shared" si="1"/>
        <v>Pass</v>
      </c>
    </row>
    <row r="134" spans="1:9">
      <c r="A134" s="54" t="s">
        <v>361</v>
      </c>
      <c r="B134" s="54" t="s">
        <v>362</v>
      </c>
      <c r="C134" s="54" t="s">
        <v>57</v>
      </c>
      <c r="H134" t="str">
        <f t="shared" si="1"/>
        <v>Pass</v>
      </c>
    </row>
    <row r="135" spans="1:9">
      <c r="A135" s="54" t="s">
        <v>363</v>
      </c>
      <c r="B135" s="54" t="s">
        <v>364</v>
      </c>
      <c r="C135" s="54" t="s">
        <v>57</v>
      </c>
      <c r="H135" t="str">
        <f t="shared" ref="H135:H198" si="2">IF(G135="",IF(F135="",IF(E135="",IF(D135="",IF(C135="","",C135),D135),E135),F135),G135)</f>
        <v>Pass</v>
      </c>
    </row>
    <row r="136" spans="1:9">
      <c r="A136" s="54" t="s">
        <v>365</v>
      </c>
      <c r="B136" s="54" t="s">
        <v>366</v>
      </c>
      <c r="C136" s="54" t="s">
        <v>57</v>
      </c>
      <c r="H136" t="str">
        <f t="shared" si="2"/>
        <v>Pass</v>
      </c>
    </row>
    <row r="137" spans="1:9">
      <c r="A137" s="54" t="s">
        <v>367</v>
      </c>
      <c r="B137" s="54" t="s">
        <v>368</v>
      </c>
      <c r="C137" s="54" t="s">
        <v>57</v>
      </c>
      <c r="H137" t="str">
        <f t="shared" si="2"/>
        <v>Pass</v>
      </c>
    </row>
    <row r="138" spans="1:9">
      <c r="A138" s="54" t="s">
        <v>369</v>
      </c>
      <c r="B138" s="54" t="s">
        <v>370</v>
      </c>
      <c r="C138" s="54" t="s">
        <v>371</v>
      </c>
      <c r="H138" t="str">
        <f t="shared" si="2"/>
        <v>Pass</v>
      </c>
    </row>
    <row r="139" spans="1:9">
      <c r="A139" s="54" t="s">
        <v>372</v>
      </c>
      <c r="B139" s="54" t="s">
        <v>373</v>
      </c>
      <c r="C139" s="54" t="s">
        <v>57</v>
      </c>
      <c r="H139" t="str">
        <f t="shared" si="2"/>
        <v>Pass</v>
      </c>
    </row>
    <row r="140" spans="1:9">
      <c r="A140" s="54" t="s">
        <v>374</v>
      </c>
      <c r="B140" s="54" t="s">
        <v>375</v>
      </c>
      <c r="C140" s="54" t="s">
        <v>57</v>
      </c>
      <c r="H140" t="str">
        <f t="shared" si="2"/>
        <v>Pass</v>
      </c>
    </row>
    <row r="141" spans="1:9">
      <c r="A141" s="54" t="s">
        <v>376</v>
      </c>
      <c r="B141" s="54" t="s">
        <v>377</v>
      </c>
      <c r="C141" s="54" t="s">
        <v>62</v>
      </c>
      <c r="H141" t="str">
        <f t="shared" si="2"/>
        <v>NA</v>
      </c>
      <c r="I141" s="54" t="s">
        <v>378</v>
      </c>
    </row>
    <row r="142" spans="1:9">
      <c r="A142" s="54" t="s">
        <v>379</v>
      </c>
      <c r="B142" s="54" t="s">
        <v>380</v>
      </c>
      <c r="C142" s="54" t="s">
        <v>62</v>
      </c>
      <c r="H142" t="str">
        <f t="shared" si="2"/>
        <v>NA</v>
      </c>
      <c r="I142" s="54" t="s">
        <v>381</v>
      </c>
    </row>
    <row r="143" spans="1:9">
      <c r="A143" s="54" t="s">
        <v>382</v>
      </c>
      <c r="B143" s="54" t="s">
        <v>383</v>
      </c>
      <c r="C143" s="54" t="s">
        <v>62</v>
      </c>
      <c r="H143" t="str">
        <f t="shared" si="2"/>
        <v>NA</v>
      </c>
      <c r="I143" s="54" t="s">
        <v>381</v>
      </c>
    </row>
    <row r="144" spans="1:9">
      <c r="A144" s="54" t="s">
        <v>384</v>
      </c>
      <c r="B144" s="54" t="s">
        <v>385</v>
      </c>
      <c r="C144" s="54" t="s">
        <v>62</v>
      </c>
      <c r="H144" t="str">
        <f t="shared" si="2"/>
        <v>NA</v>
      </c>
      <c r="I144" s="54" t="s">
        <v>386</v>
      </c>
    </row>
    <row r="145" spans="1:9">
      <c r="A145" s="54" t="s">
        <v>387</v>
      </c>
      <c r="B145" s="54" t="s">
        <v>388</v>
      </c>
      <c r="C145" s="54" t="s">
        <v>57</v>
      </c>
      <c r="H145" t="str">
        <f t="shared" si="2"/>
        <v>Pass</v>
      </c>
    </row>
    <row r="146" spans="1:9">
      <c r="A146" s="54" t="s">
        <v>389</v>
      </c>
      <c r="B146" s="54" t="s">
        <v>390</v>
      </c>
      <c r="C146" s="54" t="s">
        <v>62</v>
      </c>
      <c r="H146" t="str">
        <f t="shared" si="2"/>
        <v>NA</v>
      </c>
      <c r="I146" s="54" t="s">
        <v>391</v>
      </c>
    </row>
    <row r="147" spans="1:9">
      <c r="A147" s="54" t="s">
        <v>392</v>
      </c>
      <c r="B147" s="54" t="s">
        <v>393</v>
      </c>
      <c r="C147" s="54" t="s">
        <v>62</v>
      </c>
      <c r="H147" t="str">
        <f t="shared" si="2"/>
        <v>NA</v>
      </c>
      <c r="I147" s="54" t="s">
        <v>391</v>
      </c>
    </row>
    <row r="148" spans="1:9">
      <c r="A148" s="54" t="s">
        <v>394</v>
      </c>
      <c r="B148" s="54" t="s">
        <v>395</v>
      </c>
      <c r="C148" s="54" t="s">
        <v>57</v>
      </c>
      <c r="H148" t="str">
        <f t="shared" si="2"/>
        <v>Pass</v>
      </c>
    </row>
    <row r="149" spans="1:9">
      <c r="A149" s="54" t="s">
        <v>396</v>
      </c>
      <c r="B149" s="54" t="s">
        <v>397</v>
      </c>
      <c r="C149" s="54" t="s">
        <v>57</v>
      </c>
      <c r="H149" t="str">
        <f t="shared" si="2"/>
        <v>Pass</v>
      </c>
    </row>
    <row r="150" spans="1:9">
      <c r="A150" s="54" t="s">
        <v>398</v>
      </c>
      <c r="B150" s="54" t="s">
        <v>399</v>
      </c>
      <c r="C150" s="54" t="s">
        <v>57</v>
      </c>
      <c r="H150" t="str">
        <f t="shared" si="2"/>
        <v>Pass</v>
      </c>
    </row>
    <row r="151" spans="1:9">
      <c r="A151" s="54" t="s">
        <v>400</v>
      </c>
      <c r="B151" s="54" t="s">
        <v>401</v>
      </c>
      <c r="C151" s="54" t="s">
        <v>57</v>
      </c>
      <c r="H151" t="str">
        <f t="shared" si="2"/>
        <v>Pass</v>
      </c>
    </row>
    <row r="152" spans="1:9">
      <c r="A152" s="54" t="s">
        <v>402</v>
      </c>
      <c r="B152" s="54" t="s">
        <v>403</v>
      </c>
      <c r="C152" s="54" t="s">
        <v>57</v>
      </c>
      <c r="H152" t="str">
        <f t="shared" si="2"/>
        <v>Pass</v>
      </c>
    </row>
    <row r="153" spans="1:9">
      <c r="A153" s="54" t="s">
        <v>404</v>
      </c>
      <c r="B153" s="54" t="s">
        <v>405</v>
      </c>
      <c r="C153" s="54" t="s">
        <v>59</v>
      </c>
      <c r="H153" t="str">
        <f t="shared" si="2"/>
        <v>Fail</v>
      </c>
      <c r="I153" t="s">
        <v>406</v>
      </c>
    </row>
    <row r="154" spans="1:9">
      <c r="A154" s="54" t="s">
        <v>407</v>
      </c>
      <c r="B154" s="54" t="s">
        <v>408</v>
      </c>
      <c r="C154" s="54" t="s">
        <v>62</v>
      </c>
      <c r="H154" t="str">
        <f t="shared" si="2"/>
        <v>NA</v>
      </c>
      <c r="I154" s="54" t="s">
        <v>409</v>
      </c>
    </row>
    <row r="155" spans="1:9">
      <c r="A155" s="54" t="s">
        <v>410</v>
      </c>
      <c r="B155" s="54" t="s">
        <v>411</v>
      </c>
      <c r="C155" s="54" t="s">
        <v>57</v>
      </c>
      <c r="H155" t="str">
        <f t="shared" si="2"/>
        <v>Pass</v>
      </c>
    </row>
    <row r="156" spans="1:9">
      <c r="A156" s="54" t="s">
        <v>412</v>
      </c>
      <c r="B156" s="54" t="s">
        <v>413</v>
      </c>
      <c r="C156" s="54" t="s">
        <v>57</v>
      </c>
      <c r="H156" t="str">
        <f t="shared" si="2"/>
        <v>Pass</v>
      </c>
    </row>
    <row r="157" spans="1:9">
      <c r="A157" s="54" t="s">
        <v>414</v>
      </c>
      <c r="B157" s="54" t="s">
        <v>415</v>
      </c>
      <c r="C157" s="54" t="s">
        <v>57</v>
      </c>
      <c r="H157" t="str">
        <f t="shared" si="2"/>
        <v>Pass</v>
      </c>
    </row>
    <row r="158" spans="1:9">
      <c r="A158" s="54" t="s">
        <v>416</v>
      </c>
      <c r="B158" s="54" t="s">
        <v>417</v>
      </c>
      <c r="C158" s="54" t="s">
        <v>57</v>
      </c>
      <c r="H158" t="str">
        <f t="shared" si="2"/>
        <v>Pass</v>
      </c>
    </row>
    <row r="159" spans="1:9">
      <c r="A159" s="54" t="s">
        <v>418</v>
      </c>
      <c r="B159" s="54" t="s">
        <v>419</v>
      </c>
      <c r="C159" s="54" t="s">
        <v>57</v>
      </c>
      <c r="H159" t="str">
        <f t="shared" si="2"/>
        <v>Pass</v>
      </c>
    </row>
    <row r="160" spans="1:9">
      <c r="A160" s="54" t="s">
        <v>420</v>
      </c>
      <c r="B160" s="54" t="s">
        <v>421</v>
      </c>
      <c r="C160" s="54" t="s">
        <v>57</v>
      </c>
      <c r="H160" t="str">
        <f t="shared" si="2"/>
        <v>Pass</v>
      </c>
    </row>
    <row r="161" spans="1:9">
      <c r="A161" s="54" t="s">
        <v>422</v>
      </c>
      <c r="B161" s="54" t="s">
        <v>423</v>
      </c>
      <c r="C161" s="54" t="s">
        <v>57</v>
      </c>
      <c r="H161" t="str">
        <f t="shared" si="2"/>
        <v>Pass</v>
      </c>
    </row>
    <row r="162" spans="1:9">
      <c r="A162" s="54" t="s">
        <v>424</v>
      </c>
      <c r="B162" s="54" t="s">
        <v>425</v>
      </c>
      <c r="C162" s="54" t="s">
        <v>57</v>
      </c>
      <c r="H162" t="str">
        <f t="shared" si="2"/>
        <v>Pass</v>
      </c>
    </row>
    <row r="163" spans="1:9">
      <c r="A163" s="54" t="s">
        <v>426</v>
      </c>
      <c r="B163" s="54" t="s">
        <v>427</v>
      </c>
      <c r="C163" s="54" t="s">
        <v>62</v>
      </c>
      <c r="H163" t="str">
        <f t="shared" si="2"/>
        <v>NA</v>
      </c>
      <c r="I163" s="54" t="s">
        <v>428</v>
      </c>
    </row>
    <row r="164" spans="1:9">
      <c r="A164" s="54" t="s">
        <v>429</v>
      </c>
      <c r="B164" s="54" t="s">
        <v>430</v>
      </c>
      <c r="C164" s="54" t="s">
        <v>59</v>
      </c>
      <c r="H164" t="str">
        <f t="shared" si="2"/>
        <v>Fail</v>
      </c>
      <c r="I164" s="54" t="s">
        <v>431</v>
      </c>
    </row>
    <row r="165" spans="1:9">
      <c r="A165" s="54" t="s">
        <v>432</v>
      </c>
      <c r="B165" s="54" t="s">
        <v>433</v>
      </c>
      <c r="C165" s="54" t="s">
        <v>57</v>
      </c>
      <c r="H165" t="str">
        <f t="shared" si="2"/>
        <v>Pass</v>
      </c>
    </row>
    <row r="166" spans="1:9">
      <c r="A166" s="54" t="s">
        <v>434</v>
      </c>
      <c r="B166" s="54" t="s">
        <v>435</v>
      </c>
      <c r="C166" s="54" t="s">
        <v>57</v>
      </c>
      <c r="H166" t="str">
        <f t="shared" si="2"/>
        <v>Pass</v>
      </c>
    </row>
    <row r="167" spans="1:9">
      <c r="A167" s="54" t="s">
        <v>436</v>
      </c>
      <c r="B167" s="54" t="s">
        <v>437</v>
      </c>
      <c r="C167" s="54" t="s">
        <v>57</v>
      </c>
      <c r="H167" t="str">
        <f t="shared" si="2"/>
        <v>Pass</v>
      </c>
    </row>
    <row r="168" spans="1:9">
      <c r="A168" s="54" t="s">
        <v>438</v>
      </c>
      <c r="B168" s="54" t="s">
        <v>439</v>
      </c>
      <c r="C168" s="54" t="s">
        <v>57</v>
      </c>
      <c r="H168" t="str">
        <f t="shared" si="2"/>
        <v>Pass</v>
      </c>
    </row>
    <row r="169" spans="1:9">
      <c r="A169" s="54" t="s">
        <v>440</v>
      </c>
      <c r="B169" s="54" t="s">
        <v>441</v>
      </c>
      <c r="C169" s="54" t="s">
        <v>57</v>
      </c>
      <c r="H169" t="str">
        <f t="shared" si="2"/>
        <v>Pass</v>
      </c>
    </row>
    <row r="170" spans="1:9">
      <c r="A170" s="54" t="s">
        <v>442</v>
      </c>
      <c r="B170" s="54" t="s">
        <v>443</v>
      </c>
      <c r="C170" s="54" t="s">
        <v>62</v>
      </c>
      <c r="H170" t="str">
        <f t="shared" si="2"/>
        <v>NA</v>
      </c>
      <c r="I170" s="54" t="s">
        <v>444</v>
      </c>
    </row>
    <row r="171" spans="1:9">
      <c r="A171" s="54" t="s">
        <v>445</v>
      </c>
      <c r="B171" s="54" t="s">
        <v>446</v>
      </c>
      <c r="C171" s="54" t="s">
        <v>57</v>
      </c>
      <c r="H171" t="str">
        <f t="shared" si="2"/>
        <v>Pass</v>
      </c>
    </row>
    <row r="172" spans="1:9">
      <c r="A172" s="54" t="s">
        <v>447</v>
      </c>
      <c r="B172" s="54" t="s">
        <v>448</v>
      </c>
      <c r="C172" s="54" t="s">
        <v>57</v>
      </c>
      <c r="H172" t="str">
        <f t="shared" si="2"/>
        <v>Pass</v>
      </c>
    </row>
    <row r="173" spans="1:9">
      <c r="A173" s="54" t="s">
        <v>449</v>
      </c>
      <c r="B173" s="54" t="s">
        <v>450</v>
      </c>
      <c r="C173" s="54" t="s">
        <v>57</v>
      </c>
      <c r="H173" t="str">
        <f t="shared" si="2"/>
        <v>Pass</v>
      </c>
    </row>
    <row r="174" spans="1:9">
      <c r="A174" s="54" t="s">
        <v>451</v>
      </c>
      <c r="B174" s="54" t="s">
        <v>452</v>
      </c>
      <c r="C174" s="54" t="s">
        <v>57</v>
      </c>
      <c r="H174" t="str">
        <f t="shared" si="2"/>
        <v>Pass</v>
      </c>
    </row>
    <row r="175" spans="1:9">
      <c r="A175" s="54" t="s">
        <v>453</v>
      </c>
      <c r="B175" s="54" t="s">
        <v>454</v>
      </c>
      <c r="C175" s="54" t="s">
        <v>62</v>
      </c>
      <c r="H175" t="str">
        <f t="shared" si="2"/>
        <v>NA</v>
      </c>
      <c r="I175" s="54" t="s">
        <v>455</v>
      </c>
    </row>
    <row r="176" spans="1:9">
      <c r="A176" s="54" t="s">
        <v>456</v>
      </c>
      <c r="B176" s="54" t="s">
        <v>457</v>
      </c>
      <c r="C176" s="54" t="s">
        <v>57</v>
      </c>
      <c r="H176" t="str">
        <f t="shared" si="2"/>
        <v>Pass</v>
      </c>
    </row>
    <row r="177" spans="1:9">
      <c r="A177" s="54" t="s">
        <v>458</v>
      </c>
      <c r="B177" s="54" t="s">
        <v>459</v>
      </c>
      <c r="C177" s="54" t="s">
        <v>57</v>
      </c>
      <c r="H177" t="str">
        <f t="shared" si="2"/>
        <v>Pass</v>
      </c>
    </row>
    <row r="178" spans="1:9">
      <c r="A178" s="54" t="s">
        <v>460</v>
      </c>
      <c r="B178" s="54" t="s">
        <v>461</v>
      </c>
      <c r="C178" s="54" t="s">
        <v>62</v>
      </c>
      <c r="H178" t="str">
        <f t="shared" si="2"/>
        <v>NA</v>
      </c>
      <c r="I178" s="54" t="s">
        <v>462</v>
      </c>
    </row>
    <row r="179" spans="1:9">
      <c r="A179" s="54" t="s">
        <v>463</v>
      </c>
      <c r="B179" s="54" t="s">
        <v>464</v>
      </c>
      <c r="C179" s="54" t="s">
        <v>62</v>
      </c>
      <c r="H179" t="str">
        <f t="shared" si="2"/>
        <v>NA</v>
      </c>
      <c r="I179" s="54" t="s">
        <v>465</v>
      </c>
    </row>
    <row r="180" spans="1:9">
      <c r="A180" s="54" t="s">
        <v>466</v>
      </c>
      <c r="B180" s="54" t="s">
        <v>467</v>
      </c>
      <c r="C180" s="54" t="s">
        <v>57</v>
      </c>
      <c r="H180" t="str">
        <f t="shared" si="2"/>
        <v>Pass</v>
      </c>
    </row>
    <row r="181" spans="1:9">
      <c r="A181" s="54" t="s">
        <v>468</v>
      </c>
      <c r="B181" s="54" t="s">
        <v>469</v>
      </c>
      <c r="C181" s="54" t="s">
        <v>57</v>
      </c>
      <c r="H181" t="str">
        <f t="shared" si="2"/>
        <v>Pass</v>
      </c>
    </row>
    <row r="182" spans="1:9">
      <c r="A182" s="54" t="s">
        <v>470</v>
      </c>
      <c r="B182" s="54" t="s">
        <v>471</v>
      </c>
      <c r="C182" s="54" t="s">
        <v>57</v>
      </c>
      <c r="H182" t="str">
        <f t="shared" si="2"/>
        <v>Pass</v>
      </c>
    </row>
    <row r="183" spans="1:9">
      <c r="A183" s="54" t="s">
        <v>472</v>
      </c>
      <c r="B183" s="54" t="s">
        <v>473</v>
      </c>
      <c r="C183" s="54" t="s">
        <v>57</v>
      </c>
      <c r="H183" t="str">
        <f t="shared" si="2"/>
        <v>Pass</v>
      </c>
    </row>
    <row r="184" spans="1:9">
      <c r="A184" s="54" t="s">
        <v>474</v>
      </c>
      <c r="B184" s="54" t="s">
        <v>475</v>
      </c>
      <c r="C184" s="54" t="s">
        <v>59</v>
      </c>
      <c r="H184" t="str">
        <f t="shared" si="2"/>
        <v>Fail</v>
      </c>
      <c r="I184" s="54" t="s">
        <v>107</v>
      </c>
    </row>
    <row r="185" spans="1:9">
      <c r="A185" s="54" t="s">
        <v>476</v>
      </c>
      <c r="B185" s="54" t="s">
        <v>477</v>
      </c>
      <c r="C185" s="54" t="s">
        <v>59</v>
      </c>
      <c r="H185" t="str">
        <f t="shared" si="2"/>
        <v>Fail</v>
      </c>
      <c r="I185" s="54" t="s">
        <v>107</v>
      </c>
    </row>
    <row r="186" spans="1:9">
      <c r="A186" s="54" t="s">
        <v>478</v>
      </c>
      <c r="B186" s="54" t="s">
        <v>479</v>
      </c>
      <c r="C186" s="54" t="s">
        <v>57</v>
      </c>
      <c r="H186" t="str">
        <f t="shared" si="2"/>
        <v>Pass</v>
      </c>
    </row>
    <row r="187" spans="1:9">
      <c r="A187" s="54" t="s">
        <v>480</v>
      </c>
      <c r="B187" s="54" t="s">
        <v>481</v>
      </c>
      <c r="C187" s="54" t="s">
        <v>57</v>
      </c>
      <c r="H187" t="str">
        <f t="shared" si="2"/>
        <v>Pass</v>
      </c>
    </row>
    <row r="188" spans="1:9">
      <c r="A188" s="54" t="s">
        <v>482</v>
      </c>
      <c r="B188" s="54" t="s">
        <v>483</v>
      </c>
      <c r="C188" s="54" t="s">
        <v>57</v>
      </c>
      <c r="H188" t="str">
        <f t="shared" si="2"/>
        <v>Pass</v>
      </c>
    </row>
    <row r="189" spans="1:9">
      <c r="A189" s="54" t="s">
        <v>484</v>
      </c>
      <c r="B189" s="54" t="s">
        <v>485</v>
      </c>
      <c r="C189" s="54" t="s">
        <v>59</v>
      </c>
      <c r="H189" t="str">
        <f t="shared" si="2"/>
        <v>Fail</v>
      </c>
      <c r="I189" s="54" t="s">
        <v>486</v>
      </c>
    </row>
    <row r="190" spans="1:9">
      <c r="A190" s="54" t="s">
        <v>487</v>
      </c>
      <c r="B190" s="54" t="s">
        <v>488</v>
      </c>
      <c r="C190" s="54" t="s">
        <v>57</v>
      </c>
      <c r="H190" t="str">
        <f t="shared" si="2"/>
        <v>Pass</v>
      </c>
    </row>
    <row r="191" spans="1:9">
      <c r="A191" s="54" t="s">
        <v>489</v>
      </c>
      <c r="B191" s="54" t="s">
        <v>490</v>
      </c>
      <c r="C191" s="54" t="s">
        <v>62</v>
      </c>
      <c r="H191" t="str">
        <f t="shared" si="2"/>
        <v>NA</v>
      </c>
      <c r="I191" s="54" t="s">
        <v>491</v>
      </c>
    </row>
    <row r="192" spans="1:9">
      <c r="A192" s="54" t="s">
        <v>492</v>
      </c>
      <c r="B192" s="54" t="s">
        <v>493</v>
      </c>
      <c r="C192" s="54" t="s">
        <v>57</v>
      </c>
      <c r="H192" t="str">
        <f t="shared" si="2"/>
        <v>Pass</v>
      </c>
    </row>
    <row r="193" spans="1:9">
      <c r="A193" s="54" t="s">
        <v>494</v>
      </c>
      <c r="B193" s="54" t="s">
        <v>495</v>
      </c>
      <c r="C193" s="54" t="s">
        <v>57</v>
      </c>
      <c r="H193" t="str">
        <f t="shared" si="2"/>
        <v>Pass</v>
      </c>
    </row>
    <row r="194" spans="1:9">
      <c r="A194" s="54" t="s">
        <v>496</v>
      </c>
      <c r="B194" s="54" t="s">
        <v>497</v>
      </c>
      <c r="C194" s="54" t="s">
        <v>57</v>
      </c>
      <c r="H194" t="str">
        <f t="shared" si="2"/>
        <v>Pass</v>
      </c>
    </row>
    <row r="195" spans="1:9">
      <c r="A195" s="54" t="s">
        <v>498</v>
      </c>
      <c r="B195" s="54" t="s">
        <v>499</v>
      </c>
      <c r="C195" s="54" t="s">
        <v>57</v>
      </c>
      <c r="H195" t="str">
        <f t="shared" si="2"/>
        <v>Pass</v>
      </c>
    </row>
    <row r="196" spans="1:9">
      <c r="A196" s="54" t="s">
        <v>500</v>
      </c>
      <c r="B196" s="54" t="s">
        <v>501</v>
      </c>
      <c r="C196" s="54" t="s">
        <v>57</v>
      </c>
      <c r="H196" t="str">
        <f t="shared" si="2"/>
        <v>Pass</v>
      </c>
    </row>
    <row r="197" spans="1:9">
      <c r="A197" s="54" t="s">
        <v>502</v>
      </c>
      <c r="B197" s="54" t="s">
        <v>503</v>
      </c>
      <c r="C197" s="54" t="s">
        <v>57</v>
      </c>
      <c r="H197" t="str">
        <f t="shared" si="2"/>
        <v>Pass</v>
      </c>
    </row>
    <row r="198" spans="1:9">
      <c r="A198" s="54" t="s">
        <v>504</v>
      </c>
      <c r="B198" s="54" t="s">
        <v>505</v>
      </c>
      <c r="C198" s="54" t="s">
        <v>59</v>
      </c>
      <c r="H198" t="str">
        <f t="shared" si="2"/>
        <v>Fail</v>
      </c>
      <c r="I198" s="54" t="s">
        <v>107</v>
      </c>
    </row>
    <row r="199" spans="1:9">
      <c r="A199" s="54" t="s">
        <v>506</v>
      </c>
      <c r="B199" s="54" t="s">
        <v>507</v>
      </c>
      <c r="C199" s="54" t="s">
        <v>57</v>
      </c>
      <c r="H199" t="str">
        <f t="shared" ref="H199:H262" si="3">IF(G199="",IF(F199="",IF(E199="",IF(D199="",IF(C199="","",C199),D199),E199),F199),G199)</f>
        <v>Pass</v>
      </c>
    </row>
    <row r="200" spans="1:9">
      <c r="A200" s="54" t="s">
        <v>508</v>
      </c>
      <c r="B200" s="54" t="s">
        <v>509</v>
      </c>
      <c r="C200" s="54" t="s">
        <v>57</v>
      </c>
      <c r="H200" t="str">
        <f t="shared" si="3"/>
        <v>Pass</v>
      </c>
    </row>
    <row r="201" spans="1:9">
      <c r="A201" s="54" t="s">
        <v>510</v>
      </c>
      <c r="B201" s="54" t="s">
        <v>511</v>
      </c>
      <c r="C201" s="54" t="s">
        <v>57</v>
      </c>
      <c r="H201" t="str">
        <f t="shared" si="3"/>
        <v>Pass</v>
      </c>
    </row>
    <row r="202" spans="1:9">
      <c r="A202" s="54" t="s">
        <v>512</v>
      </c>
      <c r="B202" s="54" t="s">
        <v>513</v>
      </c>
      <c r="C202" s="54" t="s">
        <v>57</v>
      </c>
      <c r="H202" t="str">
        <f t="shared" si="3"/>
        <v>Pass</v>
      </c>
    </row>
    <row r="203" spans="1:9">
      <c r="A203" s="54" t="s">
        <v>514</v>
      </c>
      <c r="B203" s="54" t="s">
        <v>515</v>
      </c>
      <c r="C203" s="54" t="s">
        <v>57</v>
      </c>
      <c r="H203" t="str">
        <f t="shared" si="3"/>
        <v>Pass</v>
      </c>
    </row>
    <row r="204" spans="1:9">
      <c r="A204" s="54" t="s">
        <v>516</v>
      </c>
      <c r="B204" s="54" t="s">
        <v>517</v>
      </c>
      <c r="C204" s="54" t="s">
        <v>57</v>
      </c>
      <c r="H204" t="str">
        <f t="shared" si="3"/>
        <v>Pass</v>
      </c>
    </row>
    <row r="205" spans="1:9">
      <c r="A205" s="54" t="s">
        <v>518</v>
      </c>
      <c r="B205" s="54" t="s">
        <v>519</v>
      </c>
      <c r="C205" s="54" t="s">
        <v>57</v>
      </c>
      <c r="H205" t="str">
        <f t="shared" si="3"/>
        <v>Pass</v>
      </c>
    </row>
    <row r="206" spans="1:9">
      <c r="A206" s="54" t="s">
        <v>520</v>
      </c>
      <c r="B206" s="54" t="s">
        <v>521</v>
      </c>
      <c r="C206" s="54" t="s">
        <v>62</v>
      </c>
      <c r="H206" t="str">
        <f t="shared" si="3"/>
        <v>NA</v>
      </c>
      <c r="I206" s="54" t="s">
        <v>522</v>
      </c>
    </row>
    <row r="207" spans="1:9">
      <c r="A207" s="54" t="s">
        <v>523</v>
      </c>
      <c r="B207" s="54" t="s">
        <v>524</v>
      </c>
      <c r="C207" s="54" t="s">
        <v>62</v>
      </c>
      <c r="H207" t="str">
        <f t="shared" si="3"/>
        <v>NA</v>
      </c>
      <c r="I207" s="54" t="s">
        <v>525</v>
      </c>
    </row>
    <row r="208" spans="1:9">
      <c r="A208" s="54" t="s">
        <v>526</v>
      </c>
      <c r="B208" s="54" t="s">
        <v>527</v>
      </c>
      <c r="C208" s="54" t="s">
        <v>62</v>
      </c>
      <c r="H208" t="str">
        <f t="shared" si="3"/>
        <v>NA</v>
      </c>
      <c r="I208" s="54" t="s">
        <v>528</v>
      </c>
    </row>
    <row r="209" spans="1:9">
      <c r="A209" s="54" t="s">
        <v>529</v>
      </c>
      <c r="B209" s="54" t="s">
        <v>530</v>
      </c>
      <c r="C209" s="54" t="s">
        <v>57</v>
      </c>
      <c r="H209" t="str">
        <f t="shared" si="3"/>
        <v>Pass</v>
      </c>
    </row>
    <row r="210" spans="1:9">
      <c r="A210" s="54" t="s">
        <v>531</v>
      </c>
      <c r="B210" s="54" t="s">
        <v>532</v>
      </c>
      <c r="C210" s="54" t="s">
        <v>57</v>
      </c>
      <c r="H210" t="str">
        <f t="shared" si="3"/>
        <v>Pass</v>
      </c>
    </row>
    <row r="211" spans="1:9">
      <c r="A211" s="54" t="s">
        <v>533</v>
      </c>
      <c r="B211" s="54" t="s">
        <v>534</v>
      </c>
      <c r="C211" s="54" t="s">
        <v>57</v>
      </c>
      <c r="H211" t="str">
        <f t="shared" si="3"/>
        <v>Pass</v>
      </c>
    </row>
    <row r="212" spans="1:9">
      <c r="A212" s="54" t="s">
        <v>535</v>
      </c>
      <c r="B212" s="54" t="s">
        <v>536</v>
      </c>
      <c r="C212" s="54" t="s">
        <v>57</v>
      </c>
      <c r="H212" t="str">
        <f t="shared" si="3"/>
        <v>Pass</v>
      </c>
    </row>
    <row r="213" spans="1:9">
      <c r="A213" s="54" t="s">
        <v>537</v>
      </c>
      <c r="B213" s="54" t="s">
        <v>538</v>
      </c>
      <c r="C213" s="54" t="s">
        <v>57</v>
      </c>
      <c r="H213" t="str">
        <f t="shared" si="3"/>
        <v>Pass</v>
      </c>
    </row>
    <row r="214" spans="1:9">
      <c r="A214" s="54" t="s">
        <v>539</v>
      </c>
      <c r="B214" s="54" t="s">
        <v>540</v>
      </c>
      <c r="C214" s="54" t="s">
        <v>57</v>
      </c>
      <c r="H214" t="str">
        <f t="shared" si="3"/>
        <v>Pass</v>
      </c>
    </row>
    <row r="215" spans="1:9">
      <c r="A215" s="54" t="s">
        <v>541</v>
      </c>
      <c r="B215" s="54" t="s">
        <v>542</v>
      </c>
      <c r="C215" s="54" t="s">
        <v>62</v>
      </c>
      <c r="H215" t="str">
        <f t="shared" si="3"/>
        <v>NA</v>
      </c>
      <c r="I215" s="54" t="s">
        <v>543</v>
      </c>
    </row>
    <row r="216" spans="1:9">
      <c r="A216" s="54" t="s">
        <v>544</v>
      </c>
      <c r="B216" s="54" t="s">
        <v>545</v>
      </c>
      <c r="C216" s="54" t="s">
        <v>57</v>
      </c>
      <c r="H216" t="str">
        <f t="shared" si="3"/>
        <v>Pass</v>
      </c>
    </row>
    <row r="217" spans="1:9">
      <c r="A217" s="54" t="s">
        <v>546</v>
      </c>
      <c r="B217" s="54" t="s">
        <v>547</v>
      </c>
      <c r="C217" s="54" t="s">
        <v>62</v>
      </c>
      <c r="H217" t="str">
        <f t="shared" si="3"/>
        <v>NA</v>
      </c>
      <c r="I217" s="54" t="s">
        <v>548</v>
      </c>
    </row>
    <row r="218" spans="1:9">
      <c r="A218" s="54" t="s">
        <v>549</v>
      </c>
      <c r="B218" s="54" t="s">
        <v>550</v>
      </c>
      <c r="C218" s="54" t="s">
        <v>57</v>
      </c>
      <c r="H218" t="str">
        <f t="shared" si="3"/>
        <v>Pass</v>
      </c>
    </row>
    <row r="219" spans="1:9">
      <c r="A219" s="54" t="s">
        <v>551</v>
      </c>
      <c r="B219" s="54" t="s">
        <v>552</v>
      </c>
      <c r="C219" s="54" t="s">
        <v>57</v>
      </c>
      <c r="H219" t="str">
        <f t="shared" si="3"/>
        <v>Pass</v>
      </c>
    </row>
    <row r="220" spans="1:9">
      <c r="A220" s="54" t="s">
        <v>553</v>
      </c>
      <c r="B220" s="54" t="s">
        <v>554</v>
      </c>
      <c r="C220" s="54" t="s">
        <v>62</v>
      </c>
      <c r="H220" t="str">
        <f t="shared" si="3"/>
        <v>NA</v>
      </c>
      <c r="I220" s="54" t="s">
        <v>555</v>
      </c>
    </row>
    <row r="221" spans="1:9">
      <c r="A221" s="54" t="s">
        <v>556</v>
      </c>
      <c r="B221" s="54" t="s">
        <v>557</v>
      </c>
      <c r="C221" s="54" t="s">
        <v>62</v>
      </c>
      <c r="H221" t="str">
        <f t="shared" si="3"/>
        <v>NA</v>
      </c>
      <c r="I221" s="54" t="s">
        <v>558</v>
      </c>
    </row>
    <row r="222" spans="1:9">
      <c r="A222" s="54" t="s">
        <v>559</v>
      </c>
      <c r="B222" s="54" t="s">
        <v>560</v>
      </c>
      <c r="C222" s="54" t="s">
        <v>62</v>
      </c>
      <c r="H222" t="str">
        <f t="shared" si="3"/>
        <v>NA</v>
      </c>
      <c r="I222" s="54" t="s">
        <v>558</v>
      </c>
    </row>
    <row r="223" spans="1:9">
      <c r="A223" s="54" t="s">
        <v>561</v>
      </c>
      <c r="B223" s="54" t="s">
        <v>562</v>
      </c>
      <c r="C223" s="54" t="s">
        <v>59</v>
      </c>
      <c r="H223" t="str">
        <f t="shared" si="3"/>
        <v>Fail</v>
      </c>
      <c r="I223" s="54" t="s">
        <v>563</v>
      </c>
    </row>
    <row r="224" spans="1:9">
      <c r="A224" s="54" t="s">
        <v>564</v>
      </c>
      <c r="B224" s="54" t="s">
        <v>565</v>
      </c>
      <c r="C224" s="54" t="s">
        <v>59</v>
      </c>
      <c r="H224" t="str">
        <f t="shared" si="3"/>
        <v>Fail</v>
      </c>
      <c r="I224" s="54" t="s">
        <v>107</v>
      </c>
    </row>
    <row r="225" spans="1:9">
      <c r="A225" s="54" t="s">
        <v>566</v>
      </c>
      <c r="B225" s="54" t="s">
        <v>567</v>
      </c>
      <c r="C225" s="54" t="s">
        <v>57</v>
      </c>
      <c r="H225" t="str">
        <f t="shared" si="3"/>
        <v>Pass</v>
      </c>
    </row>
    <row r="226" spans="1:9">
      <c r="A226" s="54" t="s">
        <v>568</v>
      </c>
      <c r="B226" s="54" t="s">
        <v>569</v>
      </c>
      <c r="C226" s="54" t="s">
        <v>62</v>
      </c>
      <c r="H226" t="str">
        <f t="shared" si="3"/>
        <v>NA</v>
      </c>
      <c r="I226" s="54" t="s">
        <v>226</v>
      </c>
    </row>
    <row r="227" spans="1:9">
      <c r="A227" s="54" t="s">
        <v>570</v>
      </c>
      <c r="B227" s="54" t="s">
        <v>571</v>
      </c>
      <c r="C227" s="54" t="s">
        <v>62</v>
      </c>
      <c r="H227" t="str">
        <f t="shared" si="3"/>
        <v>NA</v>
      </c>
      <c r="I227" s="54" t="s">
        <v>572</v>
      </c>
    </row>
    <row r="228" spans="1:9">
      <c r="A228" s="54" t="s">
        <v>573</v>
      </c>
      <c r="B228" s="54" t="s">
        <v>574</v>
      </c>
      <c r="C228" s="54" t="s">
        <v>57</v>
      </c>
      <c r="H228" t="str">
        <f t="shared" si="3"/>
        <v>Pass</v>
      </c>
    </row>
    <row r="229" spans="1:9">
      <c r="A229" s="54" t="s">
        <v>575</v>
      </c>
      <c r="B229" s="54" t="s">
        <v>576</v>
      </c>
      <c r="C229" s="54" t="s">
        <v>62</v>
      </c>
      <c r="H229" t="str">
        <f t="shared" si="3"/>
        <v>NA</v>
      </c>
      <c r="I229" s="54" t="s">
        <v>577</v>
      </c>
    </row>
    <row r="230" spans="1:9">
      <c r="A230" s="54" t="s">
        <v>578</v>
      </c>
      <c r="B230" s="54" t="s">
        <v>579</v>
      </c>
      <c r="C230" s="54" t="s">
        <v>62</v>
      </c>
      <c r="H230" t="str">
        <f t="shared" si="3"/>
        <v>NA</v>
      </c>
      <c r="I230" s="54" t="s">
        <v>580</v>
      </c>
    </row>
    <row r="231" spans="1:9">
      <c r="A231" s="54" t="s">
        <v>581</v>
      </c>
      <c r="B231" s="54" t="s">
        <v>582</v>
      </c>
      <c r="C231" s="54" t="s">
        <v>57</v>
      </c>
      <c r="H231" t="str">
        <f t="shared" si="3"/>
        <v>Pass</v>
      </c>
    </row>
    <row r="232" spans="1:9">
      <c r="A232" s="54" t="s">
        <v>583</v>
      </c>
      <c r="B232" s="54" t="s">
        <v>584</v>
      </c>
      <c r="C232" s="54" t="s">
        <v>57</v>
      </c>
      <c r="H232" t="str">
        <f t="shared" si="3"/>
        <v>Pass</v>
      </c>
    </row>
    <row r="233" spans="1:9">
      <c r="A233" s="54" t="s">
        <v>585</v>
      </c>
      <c r="B233" s="54" t="s">
        <v>586</v>
      </c>
      <c r="C233" s="54" t="s">
        <v>62</v>
      </c>
      <c r="H233" t="str">
        <f t="shared" si="3"/>
        <v>NA</v>
      </c>
      <c r="I233" s="54" t="s">
        <v>587</v>
      </c>
    </row>
    <row r="234" spans="1:9">
      <c r="A234" s="54" t="s">
        <v>588</v>
      </c>
      <c r="B234" s="54" t="s">
        <v>589</v>
      </c>
      <c r="C234" s="54" t="s">
        <v>57</v>
      </c>
      <c r="H234" t="str">
        <f t="shared" si="3"/>
        <v>Pass</v>
      </c>
    </row>
    <row r="235" spans="1:9">
      <c r="A235" s="54" t="s">
        <v>590</v>
      </c>
      <c r="B235" s="54" t="s">
        <v>591</v>
      </c>
      <c r="C235" s="54" t="s">
        <v>57</v>
      </c>
      <c r="H235" t="str">
        <f t="shared" si="3"/>
        <v>Pass</v>
      </c>
    </row>
    <row r="236" spans="1:9">
      <c r="A236" s="54" t="s">
        <v>592</v>
      </c>
      <c r="B236" s="54" t="s">
        <v>593</v>
      </c>
      <c r="C236" s="54" t="s">
        <v>57</v>
      </c>
      <c r="H236" t="str">
        <f t="shared" si="3"/>
        <v>Pass</v>
      </c>
    </row>
    <row r="237" spans="1:9">
      <c r="A237" s="54" t="s">
        <v>594</v>
      </c>
      <c r="B237" s="54" t="s">
        <v>595</v>
      </c>
      <c r="C237" s="54" t="s">
        <v>57</v>
      </c>
      <c r="H237" t="str">
        <f t="shared" si="3"/>
        <v>Pass</v>
      </c>
    </row>
    <row r="238" spans="1:9">
      <c r="A238" s="54" t="s">
        <v>596</v>
      </c>
      <c r="B238" s="54" t="s">
        <v>597</v>
      </c>
      <c r="C238" s="54" t="s">
        <v>59</v>
      </c>
      <c r="H238" t="str">
        <f t="shared" si="3"/>
        <v>Fail</v>
      </c>
      <c r="I238" s="54" t="s">
        <v>598</v>
      </c>
    </row>
    <row r="239" spans="1:9">
      <c r="A239" s="54" t="s">
        <v>599</v>
      </c>
      <c r="B239" s="54" t="s">
        <v>600</v>
      </c>
      <c r="C239" s="54" t="s">
        <v>59</v>
      </c>
      <c r="H239" t="str">
        <f t="shared" si="3"/>
        <v>Fail</v>
      </c>
      <c r="I239" s="54" t="s">
        <v>598</v>
      </c>
    </row>
    <row r="240" spans="1:9">
      <c r="A240" s="54" t="s">
        <v>601</v>
      </c>
      <c r="B240" s="54" t="s">
        <v>602</v>
      </c>
      <c r="C240" s="54" t="s">
        <v>57</v>
      </c>
      <c r="H240" t="str">
        <f t="shared" si="3"/>
        <v>Pass</v>
      </c>
    </row>
    <row r="241" spans="1:9">
      <c r="A241" s="54" t="s">
        <v>603</v>
      </c>
      <c r="B241" s="54" t="s">
        <v>604</v>
      </c>
      <c r="C241" s="54" t="s">
        <v>57</v>
      </c>
      <c r="H241" t="str">
        <f t="shared" si="3"/>
        <v>Pass</v>
      </c>
    </row>
    <row r="242" spans="1:9">
      <c r="A242" s="54" t="s">
        <v>605</v>
      </c>
      <c r="B242" s="54" t="s">
        <v>606</v>
      </c>
      <c r="C242" s="54" t="s">
        <v>57</v>
      </c>
      <c r="H242" t="str">
        <f t="shared" si="3"/>
        <v>Pass</v>
      </c>
    </row>
    <row r="243" spans="1:9">
      <c r="A243" s="54" t="s">
        <v>607</v>
      </c>
      <c r="B243" s="54" t="s">
        <v>608</v>
      </c>
      <c r="C243" s="54" t="s">
        <v>59</v>
      </c>
      <c r="H243" t="str">
        <f t="shared" si="3"/>
        <v>Fail</v>
      </c>
      <c r="I243" s="54" t="s">
        <v>609</v>
      </c>
    </row>
    <row r="244" spans="1:9">
      <c r="A244" s="54" t="s">
        <v>610</v>
      </c>
      <c r="B244" s="54" t="s">
        <v>611</v>
      </c>
      <c r="C244" s="54" t="s">
        <v>59</v>
      </c>
      <c r="H244" t="str">
        <f t="shared" si="3"/>
        <v>Fail</v>
      </c>
      <c r="I244" s="54" t="s">
        <v>612</v>
      </c>
    </row>
    <row r="245" spans="1:9">
      <c r="A245" s="54" t="s">
        <v>613</v>
      </c>
      <c r="B245" s="54" t="s">
        <v>614</v>
      </c>
      <c r="C245" s="54" t="s">
        <v>57</v>
      </c>
      <c r="H245" t="str">
        <f t="shared" si="3"/>
        <v>Pass</v>
      </c>
    </row>
    <row r="246" spans="1:9">
      <c r="A246" s="54" t="s">
        <v>615</v>
      </c>
      <c r="B246" s="54" t="s">
        <v>616</v>
      </c>
      <c r="C246" s="54" t="s">
        <v>57</v>
      </c>
      <c r="H246" t="str">
        <f t="shared" si="3"/>
        <v>Pass</v>
      </c>
    </row>
    <row r="247" spans="1:9">
      <c r="A247" s="54" t="s">
        <v>617</v>
      </c>
      <c r="B247" s="54" t="s">
        <v>618</v>
      </c>
      <c r="C247" s="54" t="s">
        <v>57</v>
      </c>
      <c r="H247" t="str">
        <f t="shared" si="3"/>
        <v>Pass</v>
      </c>
    </row>
    <row r="248" spans="1:9">
      <c r="A248" s="54" t="s">
        <v>619</v>
      </c>
      <c r="B248" s="54" t="s">
        <v>620</v>
      </c>
      <c r="C248" s="54" t="s">
        <v>57</v>
      </c>
      <c r="H248" t="str">
        <f t="shared" si="3"/>
        <v>Pass</v>
      </c>
    </row>
    <row r="249" spans="1:9">
      <c r="A249" s="54" t="s">
        <v>621</v>
      </c>
      <c r="B249" s="54" t="s">
        <v>622</v>
      </c>
      <c r="C249" s="54" t="s">
        <v>57</v>
      </c>
      <c r="H249" t="str">
        <f t="shared" si="3"/>
        <v>Pass</v>
      </c>
    </row>
    <row r="250" spans="1:9">
      <c r="A250" s="54" t="s">
        <v>623</v>
      </c>
      <c r="B250" s="54" t="s">
        <v>624</v>
      </c>
      <c r="C250" s="54" t="s">
        <v>57</v>
      </c>
      <c r="H250" t="str">
        <f t="shared" si="3"/>
        <v>Pass</v>
      </c>
    </row>
    <row r="251" spans="1:9">
      <c r="A251" s="54" t="s">
        <v>625</v>
      </c>
      <c r="B251" s="54" t="s">
        <v>626</v>
      </c>
      <c r="C251" s="54" t="s">
        <v>57</v>
      </c>
      <c r="H251" t="str">
        <f t="shared" si="3"/>
        <v>Pass</v>
      </c>
    </row>
    <row r="252" spans="1:9">
      <c r="A252" s="54" t="s">
        <v>627</v>
      </c>
      <c r="B252" s="54" t="s">
        <v>628</v>
      </c>
      <c r="C252" s="54" t="s">
        <v>57</v>
      </c>
      <c r="H252" t="str">
        <f t="shared" si="3"/>
        <v>Pass</v>
      </c>
    </row>
    <row r="253" spans="1:9">
      <c r="A253" s="54" t="s">
        <v>629</v>
      </c>
      <c r="B253" s="54" t="s">
        <v>630</v>
      </c>
      <c r="C253" s="54" t="s">
        <v>62</v>
      </c>
      <c r="H253" t="str">
        <f t="shared" si="3"/>
        <v>NA</v>
      </c>
      <c r="I253" s="71" t="s">
        <v>631</v>
      </c>
    </row>
    <row r="254" spans="1:9">
      <c r="A254" s="54" t="s">
        <v>632</v>
      </c>
      <c r="B254" s="54" t="s">
        <v>633</v>
      </c>
      <c r="C254" s="54" t="s">
        <v>57</v>
      </c>
      <c r="H254" t="str">
        <f t="shared" si="3"/>
        <v>Pass</v>
      </c>
    </row>
    <row r="255" spans="1:9">
      <c r="A255" s="54" t="s">
        <v>634</v>
      </c>
      <c r="B255" s="54" t="s">
        <v>635</v>
      </c>
      <c r="C255" s="54" t="s">
        <v>57</v>
      </c>
      <c r="H255" t="str">
        <f t="shared" si="3"/>
        <v>Pass</v>
      </c>
    </row>
    <row r="256" spans="1:9">
      <c r="A256" s="54" t="s">
        <v>636</v>
      </c>
      <c r="B256" s="54" t="s">
        <v>637</v>
      </c>
      <c r="C256" s="54" t="s">
        <v>59</v>
      </c>
      <c r="H256" t="str">
        <f t="shared" si="3"/>
        <v>Fail</v>
      </c>
      <c r="I256" s="54" t="s">
        <v>107</v>
      </c>
    </row>
    <row r="257" spans="1:9">
      <c r="A257" s="54" t="s">
        <v>638</v>
      </c>
      <c r="B257" s="54" t="s">
        <v>639</v>
      </c>
      <c r="C257" s="54" t="s">
        <v>57</v>
      </c>
      <c r="H257" t="str">
        <f t="shared" si="3"/>
        <v>Pass</v>
      </c>
    </row>
    <row r="258" spans="1:9">
      <c r="A258" s="54" t="s">
        <v>640</v>
      </c>
      <c r="B258" s="54" t="s">
        <v>641</v>
      </c>
      <c r="C258" s="54" t="s">
        <v>62</v>
      </c>
      <c r="H258" t="str">
        <f t="shared" si="3"/>
        <v>NA</v>
      </c>
      <c r="I258" s="54" t="s">
        <v>631</v>
      </c>
    </row>
    <row r="259" spans="1:9">
      <c r="A259" s="54" t="s">
        <v>642</v>
      </c>
      <c r="B259" s="54" t="s">
        <v>643</v>
      </c>
      <c r="C259" s="54" t="s">
        <v>62</v>
      </c>
      <c r="H259" t="str">
        <f t="shared" si="3"/>
        <v>NA</v>
      </c>
      <c r="I259" s="54" t="s">
        <v>631</v>
      </c>
    </row>
    <row r="260" spans="1:9">
      <c r="A260" s="54" t="s">
        <v>644</v>
      </c>
      <c r="B260" s="54" t="s">
        <v>645</v>
      </c>
      <c r="C260" s="54" t="s">
        <v>62</v>
      </c>
      <c r="H260" t="str">
        <f t="shared" si="3"/>
        <v>NA</v>
      </c>
      <c r="I260" s="54" t="s">
        <v>631</v>
      </c>
    </row>
    <row r="261" spans="1:9">
      <c r="A261" s="54" t="s">
        <v>646</v>
      </c>
      <c r="B261" s="54" t="s">
        <v>647</v>
      </c>
      <c r="C261" s="54" t="s">
        <v>57</v>
      </c>
      <c r="H261" t="str">
        <f t="shared" si="3"/>
        <v>Pass</v>
      </c>
    </row>
    <row r="262" spans="1:9">
      <c r="A262" s="54" t="s">
        <v>648</v>
      </c>
      <c r="B262" s="54" t="s">
        <v>649</v>
      </c>
      <c r="C262" s="54" t="s">
        <v>57</v>
      </c>
      <c r="H262" t="str">
        <f t="shared" si="3"/>
        <v>Pass</v>
      </c>
    </row>
    <row r="263" spans="1:9">
      <c r="A263" s="54" t="s">
        <v>650</v>
      </c>
      <c r="B263" s="54" t="s">
        <v>651</v>
      </c>
      <c r="C263" s="54" t="s">
        <v>59</v>
      </c>
      <c r="H263" t="str">
        <f t="shared" ref="H263:H325" si="4">IF(G263="",IF(F263="",IF(E263="",IF(D263="",IF(C263="","",C263),D263),E263),F263),G263)</f>
        <v>Fail</v>
      </c>
      <c r="I263" s="54" t="s">
        <v>107</v>
      </c>
    </row>
    <row r="264" spans="1:9">
      <c r="A264" s="54" t="s">
        <v>652</v>
      </c>
      <c r="B264" s="54" t="s">
        <v>653</v>
      </c>
      <c r="C264" s="54" t="s">
        <v>57</v>
      </c>
      <c r="H264" t="str">
        <f t="shared" si="4"/>
        <v>Pass</v>
      </c>
    </row>
    <row r="265" spans="1:9">
      <c r="A265" s="54" t="s">
        <v>654</v>
      </c>
      <c r="B265" s="54" t="s">
        <v>655</v>
      </c>
      <c r="C265" s="54" t="s">
        <v>62</v>
      </c>
      <c r="H265" t="str">
        <f t="shared" si="4"/>
        <v>NA</v>
      </c>
      <c r="I265" s="54" t="s">
        <v>656</v>
      </c>
    </row>
    <row r="266" spans="1:9">
      <c r="A266" s="54" t="s">
        <v>657</v>
      </c>
      <c r="B266" s="54" t="s">
        <v>658</v>
      </c>
      <c r="C266" s="54" t="s">
        <v>62</v>
      </c>
      <c r="H266" t="str">
        <f t="shared" si="4"/>
        <v>NA</v>
      </c>
      <c r="I266" s="54" t="s">
        <v>631</v>
      </c>
    </row>
    <row r="267" spans="1:9">
      <c r="A267" s="54" t="s">
        <v>659</v>
      </c>
      <c r="B267" s="54" t="s">
        <v>660</v>
      </c>
      <c r="C267" s="54" t="s">
        <v>62</v>
      </c>
      <c r="H267" t="str">
        <f t="shared" si="4"/>
        <v>NA</v>
      </c>
      <c r="I267" s="54" t="s">
        <v>656</v>
      </c>
    </row>
    <row r="268" spans="1:9">
      <c r="A268" s="54" t="s">
        <v>661</v>
      </c>
      <c r="B268" s="54" t="s">
        <v>662</v>
      </c>
      <c r="C268" s="54" t="s">
        <v>62</v>
      </c>
      <c r="H268" t="str">
        <f t="shared" si="4"/>
        <v>NA</v>
      </c>
      <c r="I268" s="54" t="s">
        <v>631</v>
      </c>
    </row>
    <row r="269" spans="1:9">
      <c r="A269" s="54" t="s">
        <v>663</v>
      </c>
      <c r="B269" s="54" t="s">
        <v>664</v>
      </c>
      <c r="C269" s="54" t="s">
        <v>57</v>
      </c>
      <c r="H269" t="str">
        <f t="shared" si="4"/>
        <v>Pass</v>
      </c>
    </row>
    <row r="270" spans="1:9">
      <c r="A270" s="54" t="s">
        <v>665</v>
      </c>
      <c r="B270" s="54" t="s">
        <v>666</v>
      </c>
      <c r="C270" s="54" t="s">
        <v>57</v>
      </c>
      <c r="H270" t="str">
        <f t="shared" si="4"/>
        <v>Pass</v>
      </c>
    </row>
    <row r="271" spans="1:9">
      <c r="A271" s="54" t="s">
        <v>667</v>
      </c>
      <c r="B271" s="54" t="s">
        <v>668</v>
      </c>
      <c r="C271" s="54" t="s">
        <v>62</v>
      </c>
      <c r="H271" t="str">
        <f t="shared" si="4"/>
        <v>NA</v>
      </c>
      <c r="I271" s="54" t="s">
        <v>669</v>
      </c>
    </row>
    <row r="272" spans="1:9">
      <c r="A272" s="54" t="s">
        <v>670</v>
      </c>
      <c r="B272" s="54" t="s">
        <v>671</v>
      </c>
      <c r="C272" s="54" t="s">
        <v>59</v>
      </c>
      <c r="H272" t="str">
        <f t="shared" si="4"/>
        <v>Fail</v>
      </c>
      <c r="I272" t="s">
        <v>672</v>
      </c>
    </row>
    <row r="273" spans="1:9">
      <c r="A273" s="54" t="s">
        <v>673</v>
      </c>
      <c r="B273" s="54" t="s">
        <v>674</v>
      </c>
      <c r="C273" s="54" t="s">
        <v>57</v>
      </c>
      <c r="H273" t="str">
        <f t="shared" si="4"/>
        <v>Pass</v>
      </c>
    </row>
    <row r="274" spans="1:9">
      <c r="A274" s="54" t="s">
        <v>675</v>
      </c>
      <c r="B274" s="54" t="s">
        <v>676</v>
      </c>
      <c r="C274" s="54" t="s">
        <v>62</v>
      </c>
      <c r="H274" t="str">
        <f t="shared" si="4"/>
        <v>NA</v>
      </c>
      <c r="I274" s="54" t="s">
        <v>677</v>
      </c>
    </row>
    <row r="275" spans="1:9">
      <c r="A275" s="54" t="s">
        <v>678</v>
      </c>
      <c r="B275" s="54" t="s">
        <v>679</v>
      </c>
      <c r="C275" s="54" t="s">
        <v>62</v>
      </c>
      <c r="H275" t="str">
        <f t="shared" si="4"/>
        <v>NA</v>
      </c>
      <c r="I275" s="54" t="s">
        <v>677</v>
      </c>
    </row>
    <row r="276" spans="1:9">
      <c r="A276" s="54" t="s">
        <v>680</v>
      </c>
      <c r="B276" s="54" t="s">
        <v>681</v>
      </c>
      <c r="C276" s="54" t="s">
        <v>57</v>
      </c>
      <c r="H276" t="str">
        <f t="shared" si="4"/>
        <v>Pass</v>
      </c>
    </row>
    <row r="277" spans="1:9">
      <c r="A277" s="54" t="s">
        <v>682</v>
      </c>
      <c r="B277" s="54" t="s">
        <v>683</v>
      </c>
      <c r="C277" s="54" t="s">
        <v>57</v>
      </c>
      <c r="H277" t="str">
        <f t="shared" si="4"/>
        <v>Pass</v>
      </c>
    </row>
    <row r="278" spans="1:9">
      <c r="A278" s="54" t="s">
        <v>684</v>
      </c>
      <c r="B278" s="54" t="s">
        <v>685</v>
      </c>
      <c r="C278" s="54" t="s">
        <v>57</v>
      </c>
      <c r="H278" t="str">
        <f t="shared" si="4"/>
        <v>Pass</v>
      </c>
    </row>
    <row r="279" spans="1:9">
      <c r="A279" s="54" t="s">
        <v>686</v>
      </c>
      <c r="B279" s="54" t="s">
        <v>687</v>
      </c>
      <c r="C279" s="54" t="s">
        <v>57</v>
      </c>
      <c r="H279" t="str">
        <f t="shared" si="4"/>
        <v>Pass</v>
      </c>
    </row>
    <row r="280" spans="1:9">
      <c r="A280" s="54" t="s">
        <v>688</v>
      </c>
      <c r="B280" s="54" t="s">
        <v>689</v>
      </c>
      <c r="C280" s="54" t="s">
        <v>59</v>
      </c>
      <c r="H280" t="str">
        <f t="shared" si="4"/>
        <v>Fail</v>
      </c>
      <c r="I280" t="s">
        <v>690</v>
      </c>
    </row>
    <row r="281" spans="1:9">
      <c r="A281" s="54" t="s">
        <v>691</v>
      </c>
      <c r="B281" s="54" t="s">
        <v>692</v>
      </c>
      <c r="C281" s="54" t="s">
        <v>57</v>
      </c>
      <c r="H281" t="str">
        <f t="shared" si="4"/>
        <v>Pass</v>
      </c>
    </row>
    <row r="282" spans="1:9">
      <c r="A282" s="54" t="s">
        <v>693</v>
      </c>
      <c r="B282" s="54" t="s">
        <v>694</v>
      </c>
      <c r="C282" s="54" t="s">
        <v>59</v>
      </c>
      <c r="H282" t="str">
        <f t="shared" si="4"/>
        <v>Fail</v>
      </c>
      <c r="I282" t="s">
        <v>690</v>
      </c>
    </row>
    <row r="283" spans="1:9">
      <c r="A283" s="54" t="s">
        <v>695</v>
      </c>
      <c r="B283" s="54" t="s">
        <v>696</v>
      </c>
      <c r="C283" s="54" t="s">
        <v>59</v>
      </c>
      <c r="H283" t="str">
        <f t="shared" si="4"/>
        <v>Fail</v>
      </c>
      <c r="I283" t="s">
        <v>690</v>
      </c>
    </row>
    <row r="284" spans="1:9">
      <c r="A284" s="54" t="s">
        <v>697</v>
      </c>
      <c r="B284" s="54" t="s">
        <v>698</v>
      </c>
      <c r="C284" s="54" t="s">
        <v>59</v>
      </c>
      <c r="H284" t="str">
        <f t="shared" si="4"/>
        <v>Fail</v>
      </c>
      <c r="I284" t="s">
        <v>690</v>
      </c>
    </row>
    <row r="285" spans="1:9">
      <c r="A285" s="54" t="s">
        <v>699</v>
      </c>
      <c r="B285" s="54" t="s">
        <v>700</v>
      </c>
      <c r="C285" s="54" t="s">
        <v>59</v>
      </c>
      <c r="H285" t="str">
        <f t="shared" si="4"/>
        <v>Fail</v>
      </c>
      <c r="I285" t="s">
        <v>701</v>
      </c>
    </row>
    <row r="286" spans="1:9">
      <c r="A286" s="54" t="s">
        <v>702</v>
      </c>
      <c r="B286" s="54" t="s">
        <v>703</v>
      </c>
      <c r="C286" s="54" t="s">
        <v>57</v>
      </c>
      <c r="H286" t="str">
        <f t="shared" si="4"/>
        <v>Pass</v>
      </c>
    </row>
    <row r="287" spans="1:9">
      <c r="A287" s="54" t="s">
        <v>704</v>
      </c>
      <c r="B287" s="54" t="s">
        <v>705</v>
      </c>
      <c r="C287" s="54" t="s">
        <v>57</v>
      </c>
      <c r="H287" t="str">
        <f t="shared" si="4"/>
        <v>Pass</v>
      </c>
    </row>
    <row r="288" spans="1:9">
      <c r="A288" s="54" t="s">
        <v>706</v>
      </c>
      <c r="B288" s="54" t="s">
        <v>707</v>
      </c>
      <c r="C288" s="54" t="s">
        <v>57</v>
      </c>
      <c r="H288" t="str">
        <f t="shared" si="4"/>
        <v>Pass</v>
      </c>
    </row>
    <row r="289" spans="1:9">
      <c r="A289" s="54" t="s">
        <v>708</v>
      </c>
      <c r="B289" s="54" t="s">
        <v>709</v>
      </c>
      <c r="C289" s="54" t="s">
        <v>57</v>
      </c>
      <c r="H289" t="str">
        <f t="shared" si="4"/>
        <v>Pass</v>
      </c>
    </row>
    <row r="290" spans="1:9">
      <c r="A290" s="54" t="s">
        <v>710</v>
      </c>
      <c r="B290" s="54" t="s">
        <v>711</v>
      </c>
      <c r="C290" s="54" t="s">
        <v>57</v>
      </c>
      <c r="H290" t="str">
        <f t="shared" si="4"/>
        <v>Pass</v>
      </c>
    </row>
    <row r="291" spans="1:9">
      <c r="A291" s="54" t="s">
        <v>712</v>
      </c>
      <c r="B291" s="54" t="s">
        <v>713</v>
      </c>
      <c r="C291" s="54" t="s">
        <v>62</v>
      </c>
      <c r="H291" t="str">
        <f t="shared" si="4"/>
        <v>NA</v>
      </c>
      <c r="I291" t="s">
        <v>714</v>
      </c>
    </row>
    <row r="292" spans="1:9">
      <c r="A292" s="54" t="s">
        <v>715</v>
      </c>
      <c r="B292" s="54" t="s">
        <v>716</v>
      </c>
      <c r="C292" s="54" t="s">
        <v>57</v>
      </c>
      <c r="H292" t="str">
        <f t="shared" si="4"/>
        <v>Pass</v>
      </c>
    </row>
    <row r="293" spans="1:9">
      <c r="A293" s="54" t="s">
        <v>717</v>
      </c>
      <c r="B293" s="54" t="s">
        <v>718</v>
      </c>
      <c r="C293" s="54" t="s">
        <v>57</v>
      </c>
      <c r="H293" t="str">
        <f t="shared" si="4"/>
        <v>Pass</v>
      </c>
    </row>
    <row r="294" spans="1:9">
      <c r="A294" s="54" t="s">
        <v>719</v>
      </c>
      <c r="B294" s="54" t="s">
        <v>720</v>
      </c>
      <c r="C294" s="54" t="s">
        <v>62</v>
      </c>
      <c r="H294" t="str">
        <f t="shared" si="4"/>
        <v>NA</v>
      </c>
      <c r="I294" s="54" t="s">
        <v>721</v>
      </c>
    </row>
    <row r="295" spans="1:9">
      <c r="A295" s="54" t="s">
        <v>722</v>
      </c>
      <c r="B295" s="54" t="s">
        <v>723</v>
      </c>
      <c r="C295" s="54" t="s">
        <v>57</v>
      </c>
      <c r="H295" t="str">
        <f t="shared" si="4"/>
        <v>Pass</v>
      </c>
    </row>
    <row r="296" spans="1:9">
      <c r="A296" s="54" t="s">
        <v>724</v>
      </c>
      <c r="B296" s="54" t="s">
        <v>725</v>
      </c>
      <c r="C296" s="54" t="s">
        <v>57</v>
      </c>
      <c r="H296" t="str">
        <f t="shared" si="4"/>
        <v>Pass</v>
      </c>
    </row>
    <row r="297" spans="1:9">
      <c r="A297" s="54" t="s">
        <v>726</v>
      </c>
      <c r="B297" s="54" t="s">
        <v>727</v>
      </c>
      <c r="C297" s="54" t="s">
        <v>57</v>
      </c>
      <c r="H297" t="str">
        <f t="shared" si="4"/>
        <v>Pass</v>
      </c>
    </row>
    <row r="298" spans="1:9">
      <c r="A298" s="54" t="s">
        <v>728</v>
      </c>
      <c r="B298" s="54" t="s">
        <v>729</v>
      </c>
      <c r="C298" s="54" t="s">
        <v>57</v>
      </c>
      <c r="H298" t="str">
        <f t="shared" si="4"/>
        <v>Pass</v>
      </c>
    </row>
    <row r="299" spans="1:9">
      <c r="A299" s="54" t="s">
        <v>730</v>
      </c>
      <c r="B299" s="54" t="s">
        <v>731</v>
      </c>
      <c r="C299" s="54" t="s">
        <v>57</v>
      </c>
      <c r="H299" t="str">
        <f t="shared" si="4"/>
        <v>Pass</v>
      </c>
    </row>
    <row r="300" spans="1:9">
      <c r="A300" s="54" t="s">
        <v>732</v>
      </c>
      <c r="B300" s="54" t="s">
        <v>733</v>
      </c>
      <c r="C300" s="54" t="s">
        <v>57</v>
      </c>
      <c r="H300" t="str">
        <f t="shared" si="4"/>
        <v>Pass</v>
      </c>
    </row>
    <row r="301" spans="1:9">
      <c r="A301" s="54" t="s">
        <v>734</v>
      </c>
      <c r="B301" s="54" t="s">
        <v>735</v>
      </c>
      <c r="C301" s="54" t="s">
        <v>57</v>
      </c>
      <c r="H301" t="str">
        <f t="shared" si="4"/>
        <v>Pass</v>
      </c>
    </row>
    <row r="302" spans="1:9">
      <c r="A302" s="54" t="s">
        <v>736</v>
      </c>
      <c r="B302" s="54" t="s">
        <v>737</v>
      </c>
      <c r="C302" s="54" t="s">
        <v>62</v>
      </c>
      <c r="H302" t="str">
        <f t="shared" si="4"/>
        <v>NA</v>
      </c>
      <c r="I302" s="54" t="s">
        <v>738</v>
      </c>
    </row>
    <row r="303" spans="1:9">
      <c r="A303" s="54" t="s">
        <v>739</v>
      </c>
      <c r="B303" s="54" t="s">
        <v>740</v>
      </c>
      <c r="C303" s="54" t="s">
        <v>62</v>
      </c>
      <c r="H303" t="str">
        <f t="shared" si="4"/>
        <v>NA</v>
      </c>
      <c r="I303" s="54" t="s">
        <v>163</v>
      </c>
    </row>
    <row r="304" spans="1:9">
      <c r="A304" s="54" t="s">
        <v>741</v>
      </c>
      <c r="B304" s="54" t="s">
        <v>742</v>
      </c>
      <c r="C304" s="54" t="s">
        <v>57</v>
      </c>
      <c r="H304" t="str">
        <f t="shared" si="4"/>
        <v>Pass</v>
      </c>
    </row>
    <row r="305" spans="1:9">
      <c r="A305" s="54" t="s">
        <v>743</v>
      </c>
      <c r="B305" s="54" t="s">
        <v>744</v>
      </c>
      <c r="C305" s="54" t="s">
        <v>57</v>
      </c>
      <c r="H305" t="str">
        <f t="shared" si="4"/>
        <v>Pass</v>
      </c>
    </row>
    <row r="306" spans="1:9">
      <c r="A306" s="54" t="s">
        <v>745</v>
      </c>
      <c r="B306" s="54" t="s">
        <v>746</v>
      </c>
      <c r="C306" s="54" t="s">
        <v>57</v>
      </c>
      <c r="H306" t="str">
        <f t="shared" si="4"/>
        <v>Pass</v>
      </c>
    </row>
    <row r="307" spans="1:9">
      <c r="A307" s="54" t="s">
        <v>747</v>
      </c>
      <c r="B307" s="54" t="s">
        <v>748</v>
      </c>
      <c r="C307" s="54" t="s">
        <v>62</v>
      </c>
      <c r="H307" t="str">
        <f t="shared" si="4"/>
        <v>NA</v>
      </c>
      <c r="I307" s="54" t="s">
        <v>749</v>
      </c>
    </row>
    <row r="308" spans="1:9">
      <c r="A308" s="54" t="s">
        <v>750</v>
      </c>
      <c r="B308" s="54" t="s">
        <v>751</v>
      </c>
      <c r="C308" s="54" t="s">
        <v>62</v>
      </c>
      <c r="H308" t="str">
        <f t="shared" si="4"/>
        <v>NA</v>
      </c>
      <c r="I308" s="54" t="s">
        <v>752</v>
      </c>
    </row>
    <row r="309" spans="1:9">
      <c r="A309" s="54" t="s">
        <v>753</v>
      </c>
      <c r="B309" s="54" t="s">
        <v>754</v>
      </c>
      <c r="C309" s="54" t="s">
        <v>57</v>
      </c>
      <c r="H309" t="str">
        <f t="shared" si="4"/>
        <v>Pass</v>
      </c>
    </row>
    <row r="310" spans="1:9">
      <c r="A310" s="54" t="s">
        <v>755</v>
      </c>
      <c r="B310" s="54" t="s">
        <v>756</v>
      </c>
      <c r="C310" s="54" t="s">
        <v>62</v>
      </c>
      <c r="H310" t="str">
        <f t="shared" si="4"/>
        <v>NA</v>
      </c>
      <c r="I310" s="54" t="s">
        <v>757</v>
      </c>
    </row>
    <row r="311" spans="1:9">
      <c r="A311" s="54" t="s">
        <v>758</v>
      </c>
      <c r="B311" s="54" t="s">
        <v>759</v>
      </c>
      <c r="C311" s="54" t="s">
        <v>57</v>
      </c>
      <c r="H311" t="str">
        <f t="shared" si="4"/>
        <v>Pass</v>
      </c>
    </row>
    <row r="312" spans="1:9">
      <c r="A312" s="54" t="s">
        <v>760</v>
      </c>
      <c r="B312" s="54" t="s">
        <v>761</v>
      </c>
      <c r="C312" s="54" t="s">
        <v>57</v>
      </c>
      <c r="H312" t="str">
        <f t="shared" si="4"/>
        <v>Pass</v>
      </c>
    </row>
    <row r="313" spans="1:9">
      <c r="A313" s="54" t="s">
        <v>762</v>
      </c>
      <c r="B313" s="54" t="s">
        <v>763</v>
      </c>
      <c r="C313" s="54" t="s">
        <v>62</v>
      </c>
      <c r="H313" t="str">
        <f t="shared" si="4"/>
        <v>NA</v>
      </c>
      <c r="I313" s="54" t="s">
        <v>764</v>
      </c>
    </row>
    <row r="314" spans="1:9">
      <c r="A314" s="54" t="s">
        <v>765</v>
      </c>
      <c r="B314" s="54" t="s">
        <v>766</v>
      </c>
      <c r="C314" s="54" t="s">
        <v>57</v>
      </c>
      <c r="H314" t="str">
        <f t="shared" si="4"/>
        <v>Pass</v>
      </c>
    </row>
    <row r="315" spans="1:9">
      <c r="A315" s="54" t="s">
        <v>767</v>
      </c>
      <c r="B315" s="54" t="s">
        <v>768</v>
      </c>
      <c r="C315" s="54" t="s">
        <v>57</v>
      </c>
      <c r="H315" t="str">
        <f t="shared" si="4"/>
        <v>Pass</v>
      </c>
    </row>
    <row r="316" spans="1:9">
      <c r="A316" s="54" t="s">
        <v>769</v>
      </c>
      <c r="B316" s="54" t="s">
        <v>770</v>
      </c>
      <c r="C316" s="54" t="s">
        <v>57</v>
      </c>
      <c r="H316" t="str">
        <f t="shared" si="4"/>
        <v>Pass</v>
      </c>
    </row>
    <row r="317" spans="1:9">
      <c r="A317" s="54" t="s">
        <v>771</v>
      </c>
      <c r="B317" s="54" t="s">
        <v>772</v>
      </c>
      <c r="C317" s="54" t="s">
        <v>57</v>
      </c>
      <c r="H317" t="str">
        <f t="shared" si="4"/>
        <v>Pass</v>
      </c>
    </row>
    <row r="318" spans="1:9">
      <c r="A318" s="54" t="s">
        <v>773</v>
      </c>
      <c r="B318" s="54" t="s">
        <v>774</v>
      </c>
      <c r="C318" s="54" t="s">
        <v>57</v>
      </c>
      <c r="H318" t="str">
        <f t="shared" si="4"/>
        <v>Pass</v>
      </c>
    </row>
    <row r="319" spans="1:9">
      <c r="A319" s="54" t="s">
        <v>775</v>
      </c>
      <c r="B319" s="54" t="s">
        <v>776</v>
      </c>
      <c r="C319" s="54" t="s">
        <v>57</v>
      </c>
      <c r="H319" t="str">
        <f t="shared" si="4"/>
        <v>Pass</v>
      </c>
    </row>
    <row r="320" spans="1:9">
      <c r="A320" s="54" t="s">
        <v>777</v>
      </c>
      <c r="B320" s="54" t="s">
        <v>778</v>
      </c>
      <c r="C320" s="54" t="s">
        <v>57</v>
      </c>
      <c r="H320" t="str">
        <f t="shared" si="4"/>
        <v>Pass</v>
      </c>
    </row>
    <row r="321" spans="1:9">
      <c r="A321" s="54" t="s">
        <v>779</v>
      </c>
      <c r="B321" s="54" t="s">
        <v>780</v>
      </c>
      <c r="C321" s="54" t="s">
        <v>62</v>
      </c>
      <c r="H321" t="str">
        <f t="shared" si="4"/>
        <v>NA</v>
      </c>
      <c r="I321" s="54" t="s">
        <v>764</v>
      </c>
    </row>
    <row r="322" spans="1:9">
      <c r="A322" s="54" t="s">
        <v>781</v>
      </c>
      <c r="B322" s="54" t="s">
        <v>782</v>
      </c>
      <c r="C322" s="54" t="s">
        <v>59</v>
      </c>
      <c r="H322" t="str">
        <f t="shared" si="4"/>
        <v>Fail</v>
      </c>
      <c r="I322" t="s">
        <v>783</v>
      </c>
    </row>
    <row r="323" spans="1:9">
      <c r="A323" s="54" t="s">
        <v>784</v>
      </c>
      <c r="B323" s="72" t="s">
        <v>785</v>
      </c>
      <c r="C323" s="54" t="s">
        <v>57</v>
      </c>
      <c r="H323" t="str">
        <f t="shared" si="4"/>
        <v>Pass</v>
      </c>
    </row>
    <row r="324" spans="1:9">
      <c r="A324" s="54" t="s">
        <v>786</v>
      </c>
      <c r="B324" s="54" t="s">
        <v>787</v>
      </c>
      <c r="C324" s="54" t="s">
        <v>57</v>
      </c>
      <c r="H324" t="str">
        <f t="shared" si="4"/>
        <v>Pass</v>
      </c>
    </row>
    <row r="325" spans="1:9">
      <c r="A325" s="54" t="s">
        <v>788</v>
      </c>
      <c r="B325" s="54" t="s">
        <v>789</v>
      </c>
      <c r="C325" s="54" t="s">
        <v>57</v>
      </c>
      <c r="H325" t="str">
        <f t="shared" si="4"/>
        <v>Pass</v>
      </c>
    </row>
  </sheetData>
  <phoneticPr fontId="37" type="noConversion"/>
  <conditionalFormatting sqref="C7:C1048576">
    <cfRule type="containsText" dxfId="59" priority="1" stopIfTrue="1" operator="containsText" text="Pass">
      <formula>NOT(ISERROR(SEARCH("Pass",C7)))</formula>
    </cfRule>
    <cfRule type="containsText" dxfId="58" priority="2" stopIfTrue="1" operator="containsText" text="Fail">
      <formula>NOT(ISERROR(SEARCH("Fail",C7)))</formula>
    </cfRule>
    <cfRule type="containsText" dxfId="57" priority="3" stopIfTrue="1" operator="containsText" text=" ">
      <formula>NOT(ISERROR(SEARCH(" ",C7)))</formula>
    </cfRule>
    <cfRule type="containsText" dxfId="56" priority="4" stopIfTrue="1" operator="containsText" text="Block">
      <formula>NOT(ISERROR(SEARCH("Block",C7)))</formula>
    </cfRule>
    <cfRule type="containsText" dxfId="55" priority="5" stopIfTrue="1" operator="containsText" text="N">
      <formula>NOT(ISERROR(SEARCH("N",C7)))</formula>
    </cfRule>
  </conditionalFormatting>
  <conditionalFormatting sqref="D7:D1048576">
    <cfRule type="containsText" dxfId="54" priority="6" stopIfTrue="1" operator="containsText" text="Pass">
      <formula>NOT(ISERROR(SEARCH("Pass",D7)))</formula>
    </cfRule>
    <cfRule type="containsText" dxfId="53" priority="7" stopIfTrue="1" operator="containsText" text="Fail">
      <formula>NOT(ISERROR(SEARCH("Fail",D7)))</formula>
    </cfRule>
    <cfRule type="containsText" dxfId="52" priority="8" stopIfTrue="1" operator="containsText" text=" ">
      <formula>NOT(ISERROR(SEARCH(" ",D7)))</formula>
    </cfRule>
    <cfRule type="containsText" dxfId="51" priority="9" stopIfTrue="1" operator="containsText" text="Block">
      <formula>NOT(ISERROR(SEARCH("Block",D7)))</formula>
    </cfRule>
    <cfRule type="containsText" dxfId="50" priority="10" stopIfTrue="1" operator="containsText" text="N">
      <formula>NOT(ISERROR(SEARCH("N",D7)))</formula>
    </cfRule>
  </conditionalFormatting>
  <conditionalFormatting sqref="E7:E1048576">
    <cfRule type="containsText" dxfId="49" priority="11" stopIfTrue="1" operator="containsText" text="Pass">
      <formula>NOT(ISERROR(SEARCH("Pass",E7)))</formula>
    </cfRule>
    <cfRule type="containsText" dxfId="48" priority="12" stopIfTrue="1" operator="containsText" text="Fail">
      <formula>NOT(ISERROR(SEARCH("Fail",E7)))</formula>
    </cfRule>
    <cfRule type="containsText" dxfId="47" priority="13" stopIfTrue="1" operator="containsText" text=" ">
      <formula>NOT(ISERROR(SEARCH(" ",E7)))</formula>
    </cfRule>
    <cfRule type="containsText" dxfId="46" priority="14" stopIfTrue="1" operator="containsText" text="Block">
      <formula>NOT(ISERROR(SEARCH("Block",E7)))</formula>
    </cfRule>
    <cfRule type="containsText" dxfId="45" priority="15" stopIfTrue="1" operator="containsText" text="N">
      <formula>NOT(ISERROR(SEARCH("N",E7)))</formula>
    </cfRule>
  </conditionalFormatting>
  <conditionalFormatting sqref="F7:F1048576">
    <cfRule type="containsText" dxfId="44" priority="16" stopIfTrue="1" operator="containsText" text="Pass">
      <formula>NOT(ISERROR(SEARCH("Pass",F7)))</formula>
    </cfRule>
    <cfRule type="containsText" dxfId="43" priority="17" stopIfTrue="1" operator="containsText" text="Fail">
      <formula>NOT(ISERROR(SEARCH("Fail",F7)))</formula>
    </cfRule>
    <cfRule type="containsText" dxfId="42" priority="18" stopIfTrue="1" operator="containsText" text=" ">
      <formula>NOT(ISERROR(SEARCH(" ",F7)))</formula>
    </cfRule>
    <cfRule type="containsText" dxfId="41" priority="19" stopIfTrue="1" operator="containsText" text="Block">
      <formula>NOT(ISERROR(SEARCH("Block",F7)))</formula>
    </cfRule>
    <cfRule type="containsText" dxfId="40" priority="20" stopIfTrue="1" operator="containsText" text="N">
      <formula>NOT(ISERROR(SEARCH("N",F7)))</formula>
    </cfRule>
  </conditionalFormatting>
  <conditionalFormatting sqref="G7:G1048576">
    <cfRule type="containsText" dxfId="39" priority="21" stopIfTrue="1" operator="containsText" text="Pass">
      <formula>NOT(ISERROR(SEARCH("Pass",G7)))</formula>
    </cfRule>
    <cfRule type="containsText" dxfId="38" priority="22" stopIfTrue="1" operator="containsText" text="Fail">
      <formula>NOT(ISERROR(SEARCH("Fail",G7)))</formula>
    </cfRule>
    <cfRule type="containsText" dxfId="37" priority="23" stopIfTrue="1" operator="containsText" text=" ">
      <formula>NOT(ISERROR(SEARCH(" ",G7)))</formula>
    </cfRule>
    <cfRule type="containsText" dxfId="36" priority="24" stopIfTrue="1" operator="containsText" text="Block">
      <formula>NOT(ISERROR(SEARCH("Block",G7)))</formula>
    </cfRule>
    <cfRule type="containsText" dxfId="35" priority="25" stopIfTrue="1" operator="containsText" text="N">
      <formula>NOT(ISERROR(SEARCH("N",G7)))</formula>
    </cfRule>
  </conditionalFormatting>
  <conditionalFormatting sqref="H7:H1048576">
    <cfRule type="containsText" dxfId="34" priority="26" stopIfTrue="1" operator="containsText" text="Pass">
      <formula>NOT(ISERROR(SEARCH("Pass",H7)))</formula>
    </cfRule>
    <cfRule type="containsText" dxfId="33" priority="27" stopIfTrue="1" operator="containsText" text="Fail">
      <formula>NOT(ISERROR(SEARCH("Fail",H7)))</formula>
    </cfRule>
    <cfRule type="containsText" dxfId="32" priority="28" stopIfTrue="1" operator="containsText" text=" ">
      <formula>NOT(ISERROR(SEARCH(" ",H7)))</formula>
    </cfRule>
    <cfRule type="containsText" dxfId="31" priority="29" stopIfTrue="1" operator="containsText" text="Block">
      <formula>NOT(ISERROR(SEARCH("Block",H7)))</formula>
    </cfRule>
    <cfRule type="containsText" dxfId="30" priority="30" stopIfTrue="1" operator="containsText" text="N">
      <formula>NOT(ISERROR(SEARCH("N",H7)))</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Summary!S$4:S$9</xm:f>
          </x14:formula1>
          <xm:sqref>C7:C1048576</xm:sqref>
        </x14:dataValidation>
        <x14:dataValidation type="list" allowBlank="1" showInputMessage="1" showErrorMessage="1" xr:uid="{00000000-0002-0000-0300-000001000000}">
          <x14:formula1>
            <xm:f>Summary!S$4:S$9</xm:f>
          </x14:formula1>
          <xm:sqref>D7:D1048576</xm:sqref>
        </x14:dataValidation>
        <x14:dataValidation type="list" allowBlank="1" showInputMessage="1" showErrorMessage="1" xr:uid="{00000000-0002-0000-0300-000002000000}">
          <x14:formula1>
            <xm:f>Summary!S$4:S$9</xm:f>
          </x14:formula1>
          <xm:sqref>E7:E1048576</xm:sqref>
        </x14:dataValidation>
        <x14:dataValidation type="list" allowBlank="1" showInputMessage="1" showErrorMessage="1" xr:uid="{00000000-0002-0000-0300-000003000000}">
          <x14:formula1>
            <xm:f>Summary!S$4:S$9</xm:f>
          </x14:formula1>
          <xm:sqref>F7:F1048576</xm:sqref>
        </x14:dataValidation>
        <x14:dataValidation type="list" allowBlank="1" showInputMessage="1" showErrorMessage="1" xr:uid="{00000000-0002-0000-0300-000004000000}">
          <x14:formula1>
            <xm:f>Summary!S$4:S$9</xm:f>
          </x14:formula1>
          <xm:sqref>G7:G1048576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78"/>
  <sheetViews>
    <sheetView workbookViewId="0">
      <selection activeCell="B1" sqref="B1"/>
    </sheetView>
  </sheetViews>
  <sheetFormatPr defaultRowHeight="14.45"/>
  <cols>
    <col min="1" max="1" width="24" style="54" bestFit="1" customWidth="1"/>
    <col min="2" max="2" width="131.140625" style="54" customWidth="1"/>
    <col min="3" max="3" width="23.28515625" style="54" bestFit="1" customWidth="1"/>
    <col min="4" max="7" width="23.28515625" style="54" hidden="1" customWidth="1"/>
    <col min="8" max="8" width="16.140625" bestFit="1" customWidth="1"/>
    <col min="9" max="9" width="12.85546875" style="54" bestFit="1" customWidth="1"/>
  </cols>
  <sheetData>
    <row r="1" spans="1:12">
      <c r="B1" s="67" t="s">
        <v>66</v>
      </c>
      <c r="C1" s="58" t="s">
        <v>67</v>
      </c>
      <c r="D1" s="58" t="s">
        <v>68</v>
      </c>
      <c r="E1" s="58" t="s">
        <v>68</v>
      </c>
      <c r="F1" s="58" t="s">
        <v>68</v>
      </c>
      <c r="G1" s="58" t="s">
        <v>68</v>
      </c>
    </row>
    <row r="2" spans="1:12">
      <c r="B2" s="67" t="s">
        <v>69</v>
      </c>
      <c r="C2" s="58" t="s">
        <v>70</v>
      </c>
      <c r="D2" s="58" t="s">
        <v>71</v>
      </c>
      <c r="E2" s="58" t="s">
        <v>71</v>
      </c>
      <c r="F2" s="58" t="s">
        <v>71</v>
      </c>
      <c r="G2" s="58" t="s">
        <v>71</v>
      </c>
    </row>
    <row r="3" spans="1:12">
      <c r="B3" s="67" t="s">
        <v>72</v>
      </c>
      <c r="C3" s="58" t="s">
        <v>73</v>
      </c>
      <c r="D3" s="58" t="s">
        <v>74</v>
      </c>
      <c r="E3" s="58" t="s">
        <v>74</v>
      </c>
      <c r="F3" s="58" t="s">
        <v>74</v>
      </c>
      <c r="G3" s="58" t="s">
        <v>74</v>
      </c>
    </row>
    <row r="4" spans="1:12">
      <c r="B4" s="67" t="s">
        <v>75</v>
      </c>
      <c r="C4" s="58" t="s">
        <v>76</v>
      </c>
      <c r="D4" s="58" t="s">
        <v>77</v>
      </c>
      <c r="E4" s="58" t="s">
        <v>77</v>
      </c>
      <c r="F4" s="58" t="s">
        <v>77</v>
      </c>
      <c r="G4" s="58" t="s">
        <v>77</v>
      </c>
      <c r="K4" t="s">
        <v>57</v>
      </c>
      <c r="L4">
        <f>COUNTIFS($H:$H,K$4)</f>
        <v>49</v>
      </c>
    </row>
    <row r="5" spans="1:12">
      <c r="B5" s="67" t="s">
        <v>78</v>
      </c>
      <c r="C5" s="58" t="s">
        <v>79</v>
      </c>
      <c r="D5" s="58" t="s">
        <v>80</v>
      </c>
      <c r="E5" s="58" t="s">
        <v>80</v>
      </c>
      <c r="F5" s="58" t="s">
        <v>80</v>
      </c>
      <c r="G5" s="58" t="s">
        <v>80</v>
      </c>
      <c r="K5" t="s">
        <v>59</v>
      </c>
      <c r="L5">
        <f>COUNTIFS($H:$H,K$5)</f>
        <v>1</v>
      </c>
    </row>
    <row r="6" spans="1:12" s="70" customFormat="1" ht="19.5">
      <c r="A6" s="68" t="s">
        <v>81</v>
      </c>
      <c r="B6" s="68" t="s">
        <v>82</v>
      </c>
      <c r="C6" s="68" t="s">
        <v>83</v>
      </c>
      <c r="D6" s="68" t="s">
        <v>83</v>
      </c>
      <c r="E6" s="68" t="s">
        <v>83</v>
      </c>
      <c r="F6" s="68" t="s">
        <v>83</v>
      </c>
      <c r="G6" s="68" t="s">
        <v>83</v>
      </c>
      <c r="H6" s="69" t="s">
        <v>84</v>
      </c>
      <c r="I6" s="68" t="s">
        <v>85</v>
      </c>
      <c r="K6" s="70" t="s">
        <v>60</v>
      </c>
      <c r="L6" s="70">
        <f>COUNTIFS($H:$H,K$6)</f>
        <v>0</v>
      </c>
    </row>
    <row r="7" spans="1:12">
      <c r="A7" s="54" t="s">
        <v>790</v>
      </c>
      <c r="B7" s="54" t="s">
        <v>791</v>
      </c>
      <c r="C7" s="54" t="s">
        <v>57</v>
      </c>
      <c r="H7" t="str">
        <f t="shared" ref="H7:H38" si="0">IF(G7="",IF(F7="",IF(E7="",IF(D7="",IF(C7="","",C7),D7),E7),F7),G7)</f>
        <v>Pass</v>
      </c>
      <c r="K7" t="s">
        <v>62</v>
      </c>
      <c r="L7">
        <f>COUNTIFS($H:$H,K$7)</f>
        <v>22</v>
      </c>
    </row>
    <row r="8" spans="1:12">
      <c r="A8" s="54" t="s">
        <v>792</v>
      </c>
      <c r="B8" s="54" t="s">
        <v>793</v>
      </c>
      <c r="C8" s="54" t="s">
        <v>57</v>
      </c>
      <c r="H8" t="str">
        <f t="shared" si="0"/>
        <v>Pass</v>
      </c>
      <c r="K8" t="s">
        <v>63</v>
      </c>
      <c r="L8">
        <f>COUNTIFS($H:$H,K$8)</f>
        <v>0</v>
      </c>
    </row>
    <row r="9" spans="1:12">
      <c r="A9" s="54" t="s">
        <v>794</v>
      </c>
      <c r="B9" s="54" t="s">
        <v>795</v>
      </c>
      <c r="C9" s="54" t="s">
        <v>62</v>
      </c>
      <c r="H9" t="str">
        <f t="shared" si="0"/>
        <v>NA</v>
      </c>
      <c r="I9" s="54" t="s">
        <v>796</v>
      </c>
      <c r="K9" t="s">
        <v>65</v>
      </c>
      <c r="L9">
        <f>COUNTIFS($H:$H,K$9)</f>
        <v>0</v>
      </c>
    </row>
    <row r="10" spans="1:12">
      <c r="A10" s="54" t="s">
        <v>797</v>
      </c>
      <c r="B10" s="54" t="s">
        <v>798</v>
      </c>
      <c r="C10" s="54" t="s">
        <v>62</v>
      </c>
      <c r="H10" t="str">
        <f t="shared" si="0"/>
        <v>NA</v>
      </c>
      <c r="I10" s="54" t="s">
        <v>799</v>
      </c>
    </row>
    <row r="11" spans="1:12">
      <c r="A11" s="54" t="s">
        <v>800</v>
      </c>
      <c r="B11" s="54" t="s">
        <v>801</v>
      </c>
      <c r="C11" s="54" t="s">
        <v>57</v>
      </c>
      <c r="H11" t="str">
        <f t="shared" si="0"/>
        <v>Pass</v>
      </c>
    </row>
    <row r="12" spans="1:12">
      <c r="A12" s="54" t="s">
        <v>802</v>
      </c>
      <c r="B12" s="54" t="s">
        <v>803</v>
      </c>
      <c r="C12" s="54" t="s">
        <v>62</v>
      </c>
      <c r="H12" t="str">
        <f t="shared" si="0"/>
        <v>NA</v>
      </c>
      <c r="I12" s="54" t="s">
        <v>804</v>
      </c>
    </row>
    <row r="13" spans="1:12">
      <c r="A13" s="54" t="s">
        <v>805</v>
      </c>
      <c r="B13" s="54" t="s">
        <v>806</v>
      </c>
      <c r="C13" s="54" t="s">
        <v>62</v>
      </c>
      <c r="H13" t="str">
        <f t="shared" si="0"/>
        <v>NA</v>
      </c>
      <c r="I13" s="54" t="s">
        <v>804</v>
      </c>
    </row>
    <row r="14" spans="1:12">
      <c r="A14" s="54" t="s">
        <v>807</v>
      </c>
      <c r="B14" s="54" t="s">
        <v>808</v>
      </c>
      <c r="C14" s="54" t="s">
        <v>62</v>
      </c>
      <c r="H14" t="str">
        <f t="shared" si="0"/>
        <v>NA</v>
      </c>
      <c r="I14" s="54" t="s">
        <v>804</v>
      </c>
    </row>
    <row r="15" spans="1:12">
      <c r="A15" s="54" t="s">
        <v>809</v>
      </c>
      <c r="B15" s="54" t="s">
        <v>810</v>
      </c>
      <c r="C15" s="54" t="s">
        <v>371</v>
      </c>
      <c r="H15" t="str">
        <f t="shared" si="0"/>
        <v>Pass</v>
      </c>
    </row>
    <row r="16" spans="1:12">
      <c r="A16" s="54" t="s">
        <v>811</v>
      </c>
      <c r="B16" s="54" t="s">
        <v>812</v>
      </c>
      <c r="C16" s="54" t="s">
        <v>371</v>
      </c>
      <c r="H16" t="str">
        <f t="shared" si="0"/>
        <v>Pass</v>
      </c>
    </row>
    <row r="17" spans="1:9">
      <c r="A17" s="54" t="s">
        <v>813</v>
      </c>
      <c r="B17" s="54" t="s">
        <v>814</v>
      </c>
      <c r="C17" s="54" t="s">
        <v>371</v>
      </c>
      <c r="H17" t="str">
        <f t="shared" si="0"/>
        <v>Pass</v>
      </c>
    </row>
    <row r="18" spans="1:9">
      <c r="A18" s="54" t="s">
        <v>815</v>
      </c>
      <c r="B18" s="54" t="s">
        <v>816</v>
      </c>
      <c r="C18" s="54" t="s">
        <v>62</v>
      </c>
      <c r="H18" t="str">
        <f t="shared" si="0"/>
        <v>NA</v>
      </c>
      <c r="I18" s="54" t="s">
        <v>804</v>
      </c>
    </row>
    <row r="19" spans="1:9">
      <c r="A19" s="54" t="s">
        <v>817</v>
      </c>
      <c r="B19" s="54" t="s">
        <v>818</v>
      </c>
      <c r="C19" s="54" t="s">
        <v>57</v>
      </c>
      <c r="H19" t="str">
        <f t="shared" si="0"/>
        <v>Pass</v>
      </c>
    </row>
    <row r="20" spans="1:9">
      <c r="A20" s="54" t="s">
        <v>819</v>
      </c>
      <c r="B20" s="54" t="s">
        <v>820</v>
      </c>
      <c r="C20" s="54" t="s">
        <v>62</v>
      </c>
      <c r="H20" t="str">
        <f t="shared" si="0"/>
        <v>NA</v>
      </c>
      <c r="I20" s="54" t="s">
        <v>821</v>
      </c>
    </row>
    <row r="21" spans="1:9">
      <c r="A21" s="54" t="s">
        <v>822</v>
      </c>
      <c r="B21" s="54" t="s">
        <v>823</v>
      </c>
      <c r="C21" s="54" t="s">
        <v>62</v>
      </c>
      <c r="H21" t="str">
        <f t="shared" si="0"/>
        <v>NA</v>
      </c>
      <c r="I21" s="54" t="s">
        <v>821</v>
      </c>
    </row>
    <row r="22" spans="1:9">
      <c r="A22" s="54" t="s">
        <v>824</v>
      </c>
      <c r="B22" s="54" t="s">
        <v>825</v>
      </c>
      <c r="C22" s="54" t="s">
        <v>62</v>
      </c>
      <c r="H22" t="str">
        <f t="shared" si="0"/>
        <v>NA</v>
      </c>
      <c r="I22" s="54" t="s">
        <v>821</v>
      </c>
    </row>
    <row r="23" spans="1:9">
      <c r="A23" s="54" t="s">
        <v>826</v>
      </c>
      <c r="B23" s="54" t="s">
        <v>827</v>
      </c>
      <c r="C23" s="54" t="s">
        <v>62</v>
      </c>
      <c r="H23" t="str">
        <f t="shared" si="0"/>
        <v>NA</v>
      </c>
      <c r="I23" s="54" t="s">
        <v>821</v>
      </c>
    </row>
    <row r="24" spans="1:9">
      <c r="A24" s="54" t="s">
        <v>828</v>
      </c>
      <c r="B24" s="54" t="s">
        <v>829</v>
      </c>
      <c r="C24" s="54" t="s">
        <v>62</v>
      </c>
      <c r="H24" t="str">
        <f t="shared" si="0"/>
        <v>NA</v>
      </c>
      <c r="I24" s="54" t="s">
        <v>804</v>
      </c>
    </row>
    <row r="25" spans="1:9">
      <c r="A25" s="54" t="s">
        <v>830</v>
      </c>
      <c r="B25" s="54" t="s">
        <v>831</v>
      </c>
      <c r="C25" s="54" t="s">
        <v>57</v>
      </c>
      <c r="H25" t="str">
        <f t="shared" si="0"/>
        <v>Pass</v>
      </c>
    </row>
    <row r="26" spans="1:9">
      <c r="A26" s="54" t="s">
        <v>832</v>
      </c>
      <c r="B26" s="54" t="s">
        <v>833</v>
      </c>
      <c r="C26" s="54" t="s">
        <v>57</v>
      </c>
      <c r="H26" t="str">
        <f t="shared" si="0"/>
        <v>Pass</v>
      </c>
    </row>
    <row r="27" spans="1:9">
      <c r="A27" s="54" t="s">
        <v>834</v>
      </c>
      <c r="B27" s="54" t="s">
        <v>835</v>
      </c>
      <c r="C27" s="54" t="s">
        <v>57</v>
      </c>
      <c r="H27" t="str">
        <f t="shared" si="0"/>
        <v>Pass</v>
      </c>
    </row>
    <row r="28" spans="1:9">
      <c r="A28" s="54" t="s">
        <v>836</v>
      </c>
      <c r="B28" s="54" t="s">
        <v>837</v>
      </c>
      <c r="C28" s="54" t="s">
        <v>57</v>
      </c>
      <c r="H28" t="str">
        <f t="shared" si="0"/>
        <v>Pass</v>
      </c>
    </row>
    <row r="29" spans="1:9">
      <c r="A29" s="54" t="s">
        <v>838</v>
      </c>
      <c r="B29" s="54" t="s">
        <v>839</v>
      </c>
      <c r="C29" s="54" t="s">
        <v>57</v>
      </c>
      <c r="H29" t="str">
        <f t="shared" si="0"/>
        <v>Pass</v>
      </c>
    </row>
    <row r="30" spans="1:9">
      <c r="A30" s="54" t="s">
        <v>840</v>
      </c>
      <c r="B30" s="54" t="s">
        <v>841</v>
      </c>
      <c r="C30" s="54" t="s">
        <v>57</v>
      </c>
      <c r="H30" t="str">
        <f t="shared" si="0"/>
        <v>Pass</v>
      </c>
    </row>
    <row r="31" spans="1:9">
      <c r="A31" s="54" t="s">
        <v>842</v>
      </c>
      <c r="B31" s="54" t="s">
        <v>843</v>
      </c>
      <c r="C31" s="54" t="s">
        <v>57</v>
      </c>
      <c r="H31" t="str">
        <f t="shared" si="0"/>
        <v>Pass</v>
      </c>
    </row>
    <row r="32" spans="1:9">
      <c r="A32" s="54" t="s">
        <v>844</v>
      </c>
      <c r="B32" s="54" t="s">
        <v>845</v>
      </c>
      <c r="C32" s="54" t="s">
        <v>57</v>
      </c>
      <c r="H32" t="str">
        <f t="shared" si="0"/>
        <v>Pass</v>
      </c>
    </row>
    <row r="33" spans="1:9">
      <c r="A33" s="54" t="s">
        <v>846</v>
      </c>
      <c r="B33" s="54" t="s">
        <v>847</v>
      </c>
      <c r="C33" s="54" t="s">
        <v>57</v>
      </c>
      <c r="H33" t="str">
        <f t="shared" si="0"/>
        <v>Pass</v>
      </c>
    </row>
    <row r="34" spans="1:9">
      <c r="A34" s="54" t="s">
        <v>848</v>
      </c>
      <c r="B34" s="54" t="s">
        <v>849</v>
      </c>
      <c r="C34" s="54" t="s">
        <v>57</v>
      </c>
      <c r="H34" t="str">
        <f t="shared" si="0"/>
        <v>Pass</v>
      </c>
    </row>
    <row r="35" spans="1:9">
      <c r="A35" s="54" t="s">
        <v>850</v>
      </c>
      <c r="B35" s="54" t="s">
        <v>851</v>
      </c>
      <c r="C35" s="54" t="s">
        <v>57</v>
      </c>
      <c r="H35" t="str">
        <f t="shared" si="0"/>
        <v>Pass</v>
      </c>
    </row>
    <row r="36" spans="1:9">
      <c r="A36" s="54" t="s">
        <v>852</v>
      </c>
      <c r="B36" s="54" t="s">
        <v>853</v>
      </c>
      <c r="C36" s="54" t="s">
        <v>57</v>
      </c>
      <c r="H36" t="str">
        <f t="shared" si="0"/>
        <v>Pass</v>
      </c>
    </row>
    <row r="37" spans="1:9">
      <c r="A37" s="54" t="s">
        <v>854</v>
      </c>
      <c r="B37" s="54" t="s">
        <v>855</v>
      </c>
      <c r="C37" s="54" t="s">
        <v>57</v>
      </c>
      <c r="H37" t="str">
        <f t="shared" si="0"/>
        <v>Pass</v>
      </c>
    </row>
    <row r="38" spans="1:9">
      <c r="A38" s="54" t="s">
        <v>856</v>
      </c>
      <c r="B38" s="54" t="s">
        <v>857</v>
      </c>
      <c r="C38" s="54" t="s">
        <v>62</v>
      </c>
      <c r="H38" t="str">
        <f t="shared" si="0"/>
        <v>NA</v>
      </c>
      <c r="I38" s="54" t="s">
        <v>858</v>
      </c>
    </row>
    <row r="39" spans="1:9">
      <c r="A39" s="54" t="s">
        <v>859</v>
      </c>
      <c r="B39" s="54" t="s">
        <v>860</v>
      </c>
      <c r="C39" s="54" t="s">
        <v>62</v>
      </c>
      <c r="H39" t="str">
        <f t="shared" ref="H39:H70" si="1">IF(G39="",IF(F39="",IF(E39="",IF(D39="",IF(C39="","",C39),D39),E39),F39),G39)</f>
        <v>NA</v>
      </c>
      <c r="I39" s="54" t="s">
        <v>861</v>
      </c>
    </row>
    <row r="40" spans="1:9">
      <c r="A40" s="54" t="s">
        <v>862</v>
      </c>
      <c r="B40" s="54" t="s">
        <v>863</v>
      </c>
      <c r="C40" s="54" t="s">
        <v>59</v>
      </c>
      <c r="H40" t="str">
        <f t="shared" si="1"/>
        <v>Fail</v>
      </c>
      <c r="I40" s="54" t="s">
        <v>864</v>
      </c>
    </row>
    <row r="41" spans="1:9">
      <c r="A41" s="54" t="s">
        <v>865</v>
      </c>
      <c r="B41" s="54" t="s">
        <v>866</v>
      </c>
      <c r="C41" s="54" t="s">
        <v>62</v>
      </c>
      <c r="H41" t="str">
        <f t="shared" si="1"/>
        <v>NA</v>
      </c>
      <c r="I41" s="54" t="s">
        <v>867</v>
      </c>
    </row>
    <row r="42" spans="1:9">
      <c r="A42" s="54" t="s">
        <v>868</v>
      </c>
      <c r="B42" s="54" t="s">
        <v>869</v>
      </c>
      <c r="C42" s="54" t="s">
        <v>57</v>
      </c>
      <c r="H42" t="str">
        <f t="shared" si="1"/>
        <v>Pass</v>
      </c>
    </row>
    <row r="43" spans="1:9">
      <c r="A43" s="54" t="s">
        <v>870</v>
      </c>
      <c r="B43" s="54" t="s">
        <v>871</v>
      </c>
      <c r="C43" s="54" t="s">
        <v>57</v>
      </c>
      <c r="H43" t="str">
        <f t="shared" si="1"/>
        <v>Pass</v>
      </c>
    </row>
    <row r="44" spans="1:9">
      <c r="A44" s="54" t="s">
        <v>872</v>
      </c>
      <c r="B44" s="54" t="s">
        <v>873</v>
      </c>
      <c r="C44" s="54" t="s">
        <v>57</v>
      </c>
      <c r="H44" t="str">
        <f t="shared" si="1"/>
        <v>Pass</v>
      </c>
    </row>
    <row r="45" spans="1:9">
      <c r="A45" s="54" t="s">
        <v>874</v>
      </c>
      <c r="B45" s="54" t="s">
        <v>875</v>
      </c>
      <c r="C45" s="54" t="s">
        <v>57</v>
      </c>
      <c r="H45" t="str">
        <f t="shared" si="1"/>
        <v>Pass</v>
      </c>
    </row>
    <row r="46" spans="1:9">
      <c r="A46" s="54" t="s">
        <v>876</v>
      </c>
      <c r="B46" s="54" t="s">
        <v>877</v>
      </c>
      <c r="C46" s="54" t="s">
        <v>62</v>
      </c>
      <c r="H46" t="str">
        <f t="shared" si="1"/>
        <v>NA</v>
      </c>
      <c r="I46" s="54" t="s">
        <v>878</v>
      </c>
    </row>
    <row r="47" spans="1:9">
      <c r="A47" s="54" t="s">
        <v>879</v>
      </c>
      <c r="B47" s="54" t="s">
        <v>880</v>
      </c>
      <c r="C47" s="54" t="s">
        <v>62</v>
      </c>
      <c r="H47" t="str">
        <f t="shared" si="1"/>
        <v>NA</v>
      </c>
      <c r="I47" s="54" t="s">
        <v>878</v>
      </c>
    </row>
    <row r="48" spans="1:9">
      <c r="A48" s="54" t="s">
        <v>881</v>
      </c>
      <c r="B48" s="54" t="s">
        <v>882</v>
      </c>
      <c r="C48" s="54" t="s">
        <v>57</v>
      </c>
      <c r="H48" t="str">
        <f t="shared" si="1"/>
        <v>Pass</v>
      </c>
    </row>
    <row r="49" spans="1:9">
      <c r="A49" s="54" t="s">
        <v>883</v>
      </c>
      <c r="B49" s="54" t="s">
        <v>884</v>
      </c>
      <c r="C49" s="54" t="s">
        <v>57</v>
      </c>
      <c r="H49" t="str">
        <f t="shared" si="1"/>
        <v>Pass</v>
      </c>
    </row>
    <row r="50" spans="1:9">
      <c r="A50" s="54" t="s">
        <v>885</v>
      </c>
      <c r="B50" s="54" t="s">
        <v>886</v>
      </c>
      <c r="C50" s="54" t="s">
        <v>57</v>
      </c>
      <c r="H50" t="str">
        <f t="shared" si="1"/>
        <v>Pass</v>
      </c>
    </row>
    <row r="51" spans="1:9">
      <c r="A51" s="54" t="s">
        <v>887</v>
      </c>
      <c r="B51" s="54" t="s">
        <v>888</v>
      </c>
      <c r="C51" s="54" t="s">
        <v>57</v>
      </c>
      <c r="H51" t="str">
        <f t="shared" si="1"/>
        <v>Pass</v>
      </c>
    </row>
    <row r="52" spans="1:9">
      <c r="A52" s="54" t="s">
        <v>889</v>
      </c>
      <c r="B52" s="54" t="s">
        <v>890</v>
      </c>
      <c r="C52" s="54" t="s">
        <v>57</v>
      </c>
      <c r="H52" t="str">
        <f t="shared" si="1"/>
        <v>Pass</v>
      </c>
    </row>
    <row r="53" spans="1:9">
      <c r="A53" s="54" t="s">
        <v>891</v>
      </c>
      <c r="B53" s="54" t="s">
        <v>892</v>
      </c>
      <c r="C53" s="54" t="s">
        <v>57</v>
      </c>
      <c r="H53" t="str">
        <f t="shared" si="1"/>
        <v>Pass</v>
      </c>
    </row>
    <row r="54" spans="1:9">
      <c r="A54" s="54" t="s">
        <v>893</v>
      </c>
      <c r="B54" s="54" t="s">
        <v>894</v>
      </c>
      <c r="C54" s="54" t="s">
        <v>57</v>
      </c>
      <c r="H54" t="str">
        <f t="shared" si="1"/>
        <v>Pass</v>
      </c>
    </row>
    <row r="55" spans="1:9">
      <c r="A55" s="54" t="s">
        <v>895</v>
      </c>
      <c r="B55" s="54" t="s">
        <v>896</v>
      </c>
      <c r="C55" s="54" t="s">
        <v>371</v>
      </c>
      <c r="H55" t="str">
        <f t="shared" si="1"/>
        <v>Pass</v>
      </c>
    </row>
    <row r="56" spans="1:9">
      <c r="A56" s="54" t="s">
        <v>897</v>
      </c>
      <c r="B56" s="54" t="s">
        <v>898</v>
      </c>
      <c r="C56" s="54" t="s">
        <v>57</v>
      </c>
      <c r="H56" t="str">
        <f t="shared" si="1"/>
        <v>Pass</v>
      </c>
    </row>
    <row r="57" spans="1:9">
      <c r="A57" s="54" t="s">
        <v>899</v>
      </c>
      <c r="B57" s="54" t="s">
        <v>900</v>
      </c>
      <c r="C57" s="54" t="s">
        <v>57</v>
      </c>
      <c r="H57" t="str">
        <f t="shared" si="1"/>
        <v>Pass</v>
      </c>
    </row>
    <row r="58" spans="1:9">
      <c r="A58" s="54" t="s">
        <v>901</v>
      </c>
      <c r="B58" s="54" t="s">
        <v>902</v>
      </c>
      <c r="C58" s="54" t="s">
        <v>62</v>
      </c>
      <c r="H58" t="str">
        <f t="shared" si="1"/>
        <v>NA</v>
      </c>
      <c r="I58" s="54" t="s">
        <v>381</v>
      </c>
    </row>
    <row r="59" spans="1:9">
      <c r="A59" s="54" t="s">
        <v>903</v>
      </c>
      <c r="B59" s="54" t="s">
        <v>904</v>
      </c>
      <c r="C59" s="54" t="s">
        <v>57</v>
      </c>
      <c r="H59" t="str">
        <f t="shared" si="1"/>
        <v>Pass</v>
      </c>
    </row>
    <row r="60" spans="1:9">
      <c r="A60" s="54" t="s">
        <v>905</v>
      </c>
      <c r="B60" s="54" t="s">
        <v>906</v>
      </c>
      <c r="C60" s="54" t="s">
        <v>57</v>
      </c>
      <c r="H60" t="str">
        <f t="shared" si="1"/>
        <v>Pass</v>
      </c>
    </row>
    <row r="61" spans="1:9">
      <c r="A61" s="54" t="s">
        <v>907</v>
      </c>
      <c r="B61" s="54" t="s">
        <v>908</v>
      </c>
      <c r="C61" s="54" t="s">
        <v>57</v>
      </c>
      <c r="H61" t="str">
        <f t="shared" si="1"/>
        <v>Pass</v>
      </c>
    </row>
    <row r="62" spans="1:9">
      <c r="A62" s="54" t="s">
        <v>909</v>
      </c>
      <c r="B62" s="54" t="s">
        <v>910</v>
      </c>
      <c r="C62" s="54" t="s">
        <v>57</v>
      </c>
      <c r="H62" t="str">
        <f t="shared" si="1"/>
        <v>Pass</v>
      </c>
    </row>
    <row r="63" spans="1:9">
      <c r="A63" s="54" t="s">
        <v>911</v>
      </c>
      <c r="B63" s="54" t="s">
        <v>912</v>
      </c>
      <c r="C63" s="54" t="s">
        <v>57</v>
      </c>
      <c r="H63" t="str">
        <f t="shared" si="1"/>
        <v>Pass</v>
      </c>
    </row>
    <row r="64" spans="1:9">
      <c r="A64" s="54" t="s">
        <v>913</v>
      </c>
      <c r="B64" s="54" t="s">
        <v>914</v>
      </c>
      <c r="C64" s="54" t="s">
        <v>371</v>
      </c>
      <c r="H64" t="str">
        <f t="shared" si="1"/>
        <v>Pass</v>
      </c>
    </row>
    <row r="65" spans="1:9">
      <c r="A65" s="54" t="s">
        <v>915</v>
      </c>
      <c r="B65" s="54" t="s">
        <v>916</v>
      </c>
      <c r="C65" s="54" t="s">
        <v>57</v>
      </c>
      <c r="H65" t="str">
        <f t="shared" si="1"/>
        <v>Pass</v>
      </c>
    </row>
    <row r="66" spans="1:9">
      <c r="A66" s="54" t="s">
        <v>917</v>
      </c>
      <c r="B66" s="54" t="s">
        <v>918</v>
      </c>
      <c r="C66" s="54" t="s">
        <v>57</v>
      </c>
      <c r="H66" t="str">
        <f t="shared" si="1"/>
        <v>Pass</v>
      </c>
    </row>
    <row r="67" spans="1:9">
      <c r="A67" s="54" t="s">
        <v>919</v>
      </c>
      <c r="B67" s="54" t="s">
        <v>920</v>
      </c>
      <c r="C67" s="54" t="s">
        <v>57</v>
      </c>
      <c r="H67" t="str">
        <f t="shared" si="1"/>
        <v>Pass</v>
      </c>
    </row>
    <row r="68" spans="1:9">
      <c r="A68" s="54" t="s">
        <v>921</v>
      </c>
      <c r="B68" s="54" t="s">
        <v>922</v>
      </c>
      <c r="C68" s="54" t="s">
        <v>57</v>
      </c>
      <c r="H68" t="str">
        <f t="shared" si="1"/>
        <v>Pass</v>
      </c>
    </row>
    <row r="69" spans="1:9">
      <c r="A69" s="54" t="s">
        <v>923</v>
      </c>
      <c r="B69" s="54" t="s">
        <v>924</v>
      </c>
      <c r="C69" s="54" t="s">
        <v>57</v>
      </c>
      <c r="H69" t="str">
        <f t="shared" si="1"/>
        <v>Pass</v>
      </c>
    </row>
    <row r="70" spans="1:9">
      <c r="A70" s="54" t="s">
        <v>925</v>
      </c>
      <c r="B70" s="54" t="s">
        <v>926</v>
      </c>
      <c r="C70" s="54" t="s">
        <v>57</v>
      </c>
      <c r="H70" t="str">
        <f t="shared" si="1"/>
        <v>Pass</v>
      </c>
    </row>
    <row r="71" spans="1:9">
      <c r="A71" s="54" t="s">
        <v>927</v>
      </c>
      <c r="B71" s="54" t="s">
        <v>928</v>
      </c>
      <c r="C71" s="54" t="s">
        <v>57</v>
      </c>
      <c r="H71" t="str">
        <f t="shared" ref="H71:H78" si="2">IF(G71="",IF(F71="",IF(E71="",IF(D71="",IF(C71="","",C71),D71),E71),F71),G71)</f>
        <v>Pass</v>
      </c>
    </row>
    <row r="72" spans="1:9">
      <c r="A72" s="54" t="s">
        <v>929</v>
      </c>
      <c r="B72" s="54" t="s">
        <v>930</v>
      </c>
      <c r="C72" s="54" t="s">
        <v>57</v>
      </c>
      <c r="H72" t="str">
        <f t="shared" si="2"/>
        <v>Pass</v>
      </c>
    </row>
    <row r="73" spans="1:9">
      <c r="A73" s="54" t="s">
        <v>931</v>
      </c>
      <c r="B73" s="54" t="s">
        <v>932</v>
      </c>
      <c r="C73" s="54" t="s">
        <v>62</v>
      </c>
      <c r="H73" t="str">
        <f t="shared" si="2"/>
        <v>NA</v>
      </c>
      <c r="I73" s="54" t="s">
        <v>381</v>
      </c>
    </row>
    <row r="74" spans="1:9">
      <c r="A74" s="54" t="s">
        <v>933</v>
      </c>
      <c r="B74" s="54" t="s">
        <v>934</v>
      </c>
      <c r="C74" s="54" t="s">
        <v>62</v>
      </c>
      <c r="H74" t="str">
        <f t="shared" si="2"/>
        <v>NA</v>
      </c>
      <c r="I74" s="54" t="s">
        <v>381</v>
      </c>
    </row>
    <row r="75" spans="1:9">
      <c r="A75" s="54" t="s">
        <v>935</v>
      </c>
      <c r="B75" s="54" t="s">
        <v>936</v>
      </c>
      <c r="C75" s="54" t="s">
        <v>62</v>
      </c>
      <c r="H75" t="str">
        <f t="shared" si="2"/>
        <v>NA</v>
      </c>
      <c r="I75" s="54" t="s">
        <v>381</v>
      </c>
    </row>
    <row r="76" spans="1:9">
      <c r="A76" s="54" t="s">
        <v>937</v>
      </c>
      <c r="B76" s="54" t="s">
        <v>938</v>
      </c>
      <c r="C76" s="54" t="s">
        <v>62</v>
      </c>
      <c r="H76" t="str">
        <f t="shared" si="2"/>
        <v>NA</v>
      </c>
      <c r="I76" s="54" t="s">
        <v>381</v>
      </c>
    </row>
    <row r="77" spans="1:9">
      <c r="A77" s="54" t="s">
        <v>939</v>
      </c>
      <c r="B77" s="54" t="s">
        <v>940</v>
      </c>
      <c r="C77" s="54" t="s">
        <v>62</v>
      </c>
      <c r="H77" t="str">
        <f t="shared" si="2"/>
        <v>NA</v>
      </c>
      <c r="I77" s="54" t="s">
        <v>381</v>
      </c>
    </row>
    <row r="78" spans="1:9">
      <c r="A78" s="54" t="s">
        <v>941</v>
      </c>
      <c r="B78" s="54" t="s">
        <v>942</v>
      </c>
      <c r="C78" s="54" t="s">
        <v>57</v>
      </c>
      <c r="H78" t="str">
        <f t="shared" si="2"/>
        <v>Pass</v>
      </c>
    </row>
  </sheetData>
  <phoneticPr fontId="37" type="noConversion"/>
  <conditionalFormatting sqref="C7:C1048576">
    <cfRule type="containsText" dxfId="29" priority="1" stopIfTrue="1" operator="containsText" text="Pass">
      <formula>NOT(ISERROR(SEARCH("Pass",C7)))</formula>
    </cfRule>
    <cfRule type="containsText" dxfId="28" priority="2" stopIfTrue="1" operator="containsText" text="Fail">
      <formula>NOT(ISERROR(SEARCH("Fail",C7)))</formula>
    </cfRule>
    <cfRule type="containsText" dxfId="27" priority="3" stopIfTrue="1" operator="containsText" text=" ">
      <formula>NOT(ISERROR(SEARCH(" ",C7)))</formula>
    </cfRule>
    <cfRule type="containsText" dxfId="26" priority="4" stopIfTrue="1" operator="containsText" text="Block">
      <formula>NOT(ISERROR(SEARCH("Block",C7)))</formula>
    </cfRule>
    <cfRule type="containsText" dxfId="25" priority="5" stopIfTrue="1" operator="containsText" text="N">
      <formula>NOT(ISERROR(SEARCH("N",C7)))</formula>
    </cfRule>
  </conditionalFormatting>
  <conditionalFormatting sqref="D7:D1048576">
    <cfRule type="containsText" dxfId="24" priority="6" stopIfTrue="1" operator="containsText" text="Pass">
      <formula>NOT(ISERROR(SEARCH("Pass",D7)))</formula>
    </cfRule>
    <cfRule type="containsText" dxfId="23" priority="7" stopIfTrue="1" operator="containsText" text="Fail">
      <formula>NOT(ISERROR(SEARCH("Fail",D7)))</formula>
    </cfRule>
    <cfRule type="containsText" dxfId="22" priority="8" stopIfTrue="1" operator="containsText" text=" ">
      <formula>NOT(ISERROR(SEARCH(" ",D7)))</formula>
    </cfRule>
    <cfRule type="containsText" dxfId="21" priority="9" stopIfTrue="1" operator="containsText" text="Block">
      <formula>NOT(ISERROR(SEARCH("Block",D7)))</formula>
    </cfRule>
    <cfRule type="containsText" dxfId="20" priority="10" stopIfTrue="1" operator="containsText" text="N">
      <formula>NOT(ISERROR(SEARCH("N",D7)))</formula>
    </cfRule>
  </conditionalFormatting>
  <conditionalFormatting sqref="E7:E1048576">
    <cfRule type="containsText" dxfId="19" priority="11" stopIfTrue="1" operator="containsText" text="Pass">
      <formula>NOT(ISERROR(SEARCH("Pass",E7)))</formula>
    </cfRule>
    <cfRule type="containsText" dxfId="18" priority="12" stopIfTrue="1" operator="containsText" text="Fail">
      <formula>NOT(ISERROR(SEARCH("Fail",E7)))</formula>
    </cfRule>
    <cfRule type="containsText" dxfId="17" priority="13" stopIfTrue="1" operator="containsText" text=" ">
      <formula>NOT(ISERROR(SEARCH(" ",E7)))</formula>
    </cfRule>
    <cfRule type="containsText" dxfId="16" priority="14" stopIfTrue="1" operator="containsText" text="Block">
      <formula>NOT(ISERROR(SEARCH("Block",E7)))</formula>
    </cfRule>
    <cfRule type="containsText" dxfId="15" priority="15" stopIfTrue="1" operator="containsText" text="N">
      <formula>NOT(ISERROR(SEARCH("N",E7)))</formula>
    </cfRule>
  </conditionalFormatting>
  <conditionalFormatting sqref="F7:F1048576">
    <cfRule type="containsText" dxfId="14" priority="16" stopIfTrue="1" operator="containsText" text="Pass">
      <formula>NOT(ISERROR(SEARCH("Pass",F7)))</formula>
    </cfRule>
    <cfRule type="containsText" dxfId="13" priority="17" stopIfTrue="1" operator="containsText" text="Fail">
      <formula>NOT(ISERROR(SEARCH("Fail",F7)))</formula>
    </cfRule>
    <cfRule type="containsText" dxfId="12" priority="18" stopIfTrue="1" operator="containsText" text=" ">
      <formula>NOT(ISERROR(SEARCH(" ",F7)))</formula>
    </cfRule>
    <cfRule type="containsText" dxfId="11" priority="19" stopIfTrue="1" operator="containsText" text="Block">
      <formula>NOT(ISERROR(SEARCH("Block",F7)))</formula>
    </cfRule>
    <cfRule type="containsText" dxfId="10" priority="20" stopIfTrue="1" operator="containsText" text="N">
      <formula>NOT(ISERROR(SEARCH("N",F7)))</formula>
    </cfRule>
  </conditionalFormatting>
  <conditionalFormatting sqref="G7:G1048576">
    <cfRule type="containsText" dxfId="9" priority="21" stopIfTrue="1" operator="containsText" text="Pass">
      <formula>NOT(ISERROR(SEARCH("Pass",G7)))</formula>
    </cfRule>
    <cfRule type="containsText" dxfId="8" priority="22" stopIfTrue="1" operator="containsText" text="Fail">
      <formula>NOT(ISERROR(SEARCH("Fail",G7)))</formula>
    </cfRule>
    <cfRule type="containsText" dxfId="7" priority="23" stopIfTrue="1" operator="containsText" text=" ">
      <formula>NOT(ISERROR(SEARCH(" ",G7)))</formula>
    </cfRule>
    <cfRule type="containsText" dxfId="6" priority="24" stopIfTrue="1" operator="containsText" text="Block">
      <formula>NOT(ISERROR(SEARCH("Block",G7)))</formula>
    </cfRule>
    <cfRule type="containsText" dxfId="5" priority="25" stopIfTrue="1" operator="containsText" text="N">
      <formula>NOT(ISERROR(SEARCH("N",G7)))</formula>
    </cfRule>
  </conditionalFormatting>
  <conditionalFormatting sqref="H7:H1048576">
    <cfRule type="containsText" dxfId="4" priority="26" stopIfTrue="1" operator="containsText" text="Pass">
      <formula>NOT(ISERROR(SEARCH("Pass",H7)))</formula>
    </cfRule>
    <cfRule type="containsText" dxfId="3" priority="27" stopIfTrue="1" operator="containsText" text="Fail">
      <formula>NOT(ISERROR(SEARCH("Fail",H7)))</formula>
    </cfRule>
    <cfRule type="containsText" dxfId="2" priority="28" stopIfTrue="1" operator="containsText" text=" ">
      <formula>NOT(ISERROR(SEARCH(" ",H7)))</formula>
    </cfRule>
    <cfRule type="containsText" dxfId="1" priority="29" stopIfTrue="1" operator="containsText" text="Block">
      <formula>NOT(ISERROR(SEARCH("Block",H7)))</formula>
    </cfRule>
    <cfRule type="containsText" dxfId="0" priority="30" stopIfTrue="1" operator="containsText" text="N">
      <formula>NOT(ISERROR(SEARCH("N",H7)))</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Summary!S$4:S$9</xm:f>
          </x14:formula1>
          <xm:sqref>C7:C1048576</xm:sqref>
        </x14:dataValidation>
        <x14:dataValidation type="list" allowBlank="1" showInputMessage="1" showErrorMessage="1" xr:uid="{00000000-0002-0000-0400-000001000000}">
          <x14:formula1>
            <xm:f>Summary!S$4:S$9</xm:f>
          </x14:formula1>
          <xm:sqref>D7:D1048576</xm:sqref>
        </x14:dataValidation>
        <x14:dataValidation type="list" allowBlank="1" showInputMessage="1" showErrorMessage="1" xr:uid="{00000000-0002-0000-0400-000002000000}">
          <x14:formula1>
            <xm:f>Summary!S$4:S$9</xm:f>
          </x14:formula1>
          <xm:sqref>E7:E1048576</xm:sqref>
        </x14:dataValidation>
        <x14:dataValidation type="list" allowBlank="1" showInputMessage="1" showErrorMessage="1" xr:uid="{00000000-0002-0000-0400-000003000000}">
          <x14:formula1>
            <xm:f>Summary!S$4:S$9</xm:f>
          </x14:formula1>
          <xm:sqref>F7:F1048576</xm:sqref>
        </x14:dataValidation>
        <x14:dataValidation type="list" allowBlank="1" showInputMessage="1" showErrorMessage="1" xr:uid="{00000000-0002-0000-0400-000004000000}">
          <x14:formula1>
            <xm:f>Summary!S$4:S$9</xm:f>
          </x14:formula1>
          <xm:sqref>G7:G1048576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3B1AC1B3987C4689DFC6F233B81653" ma:contentTypeVersion="19" ma:contentTypeDescription="Create a new document." ma:contentTypeScope="" ma:versionID="1cbb2220c53823ebb02c1cd10a27dabb">
  <xsd:schema xmlns:xsd="http://www.w3.org/2001/XMLSchema" xmlns:xs="http://www.w3.org/2001/XMLSchema" xmlns:p="http://schemas.microsoft.com/office/2006/metadata/properties" xmlns:ns2="409fdcda-d453-4afd-a067-ce456e7f6c23" xmlns:ns3="c7aef5d7-c5a9-486b-961e-35eb4a178808" xmlns:ns4="64fe8c59-3550-437a-9cc1-69277fe2ea73" targetNamespace="http://schemas.microsoft.com/office/2006/metadata/properties" ma:root="true" ma:fieldsID="b69a9c98d9514c6ab50d5a5b46f86f64" ns2:_="" ns3:_="" ns4:_="">
    <xsd:import namespace="409fdcda-d453-4afd-a067-ce456e7f6c23"/>
    <xsd:import namespace="c7aef5d7-c5a9-486b-961e-35eb4a178808"/>
    <xsd:import namespace="64fe8c59-3550-437a-9cc1-69277fe2ea7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_Flow_SignoffStatus" minOccurs="0"/>
                <xsd:element ref="ns2:MediaServiceLocation" minOccurs="0"/>
                <xsd:element ref="ns2:lcf76f155ced4ddcb4097134ff3c332f" minOccurs="0"/>
                <xsd:element ref="ns4: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9fdcda-d453-4afd-a067-ce456e7f6c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Flow_SignoffStatus" ma:index="19" nillable="true" ma:displayName="Sign-off status" ma:internalName="Sign_x002d_off_x0020_status">
      <xsd:simpleType>
        <xsd:restriction base="dms:Text"/>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97f403b-2b63-43ad-9c62-fa967f2a159f"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ef5d7-c5a9-486b-961e-35eb4a178808"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4fe8c59-3550-437a-9cc1-69277fe2ea73"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1681be0-8666-47bf-8b40-744ed9edd4f8}" ma:internalName="TaxCatchAll" ma:showField="CatchAllData" ma:web="c7aef5d7-c5a9-486b-961e-35eb4a1788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409fdcda-d453-4afd-a067-ce456e7f6c23" xsi:nil="true"/>
    <TaxCatchAll xmlns="64fe8c59-3550-437a-9cc1-69277fe2ea73" xsi:nil="true"/>
    <lcf76f155ced4ddcb4097134ff3c332f xmlns="409fdcda-d453-4afd-a067-ce456e7f6c23">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7C97A4-D356-472E-8EE5-1536586CD86A}"/>
</file>

<file path=customXml/itemProps2.xml><?xml version="1.0" encoding="utf-8"?>
<ds:datastoreItem xmlns:ds="http://schemas.openxmlformats.org/officeDocument/2006/customXml" ds:itemID="{D168E42F-C4A0-4353-87A5-BDAF71671DD1}"/>
</file>

<file path=customXml/itemProps3.xml><?xml version="1.0" encoding="utf-8"?>
<ds:datastoreItem xmlns:ds="http://schemas.openxmlformats.org/officeDocument/2006/customXml" ds:itemID="{E9402285-A626-4201-B53A-A7113A4BDC93}"/>
</file>

<file path=docProps/app.xml><?xml version="1.0" encoding="utf-8"?>
<Properties xmlns="http://schemas.openxmlformats.org/officeDocument/2006/extended-properties" xmlns:vt="http://schemas.openxmlformats.org/officeDocument/2006/docPropsVTypes">
  <Application>Microsoft Excel Online</Application>
  <Manager/>
  <Company>Hewlett-Packard</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Caparas, Rolando</dc:creator>
  <cp:keywords/>
  <dc:description/>
  <cp:lastModifiedBy>Huang, Angel2 (CW)</cp:lastModifiedBy>
  <cp:revision/>
  <dcterms:created xsi:type="dcterms:W3CDTF">2006-02-14T17:35:43Z</dcterms:created>
  <dcterms:modified xsi:type="dcterms:W3CDTF">2024-01-26T07:30:02Z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0x010100F63B1AC1B3987C4689DFC6F233B81653</vt:lpwstr>
  </property>
  <property fmtid="{D5CDD505-2E9C-101B-9397-08002B2CF9AE}" pid="3" name="MediaServiceImageTags">
    <vt:lpwstr/>
  </property>
</Properties>
</file>